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0.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4.xml" ContentType="application/vnd.openxmlformats-officedocument.drawing+xml"/>
  <Override PartName="/xl/drawings/drawing2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8.xml" ContentType="application/vnd.openxmlformats-officedocument.drawing+xml"/>
  <Override PartName="/xl/drawings/drawing2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1.xml" ContentType="application/vnd.openxmlformats-officedocument.drawing+xml"/>
  <Override PartName="/xl/drawings/drawing3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4.xml" ContentType="application/vnd.openxmlformats-officedocument.drawing+xml"/>
  <Override PartName="/xl/drawings/drawing3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7.xml" ContentType="application/vnd.openxmlformats-officedocument.drawing+xml"/>
  <Override PartName="/xl/drawings/drawing3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1.xml" ContentType="application/vnd.openxmlformats-officedocument.drawing+xml"/>
  <Override PartName="/xl/drawings/drawing4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4.xml" ContentType="application/vnd.openxmlformats-officedocument.drawing+xml"/>
  <Override PartName="/xl/drawings/drawing45.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6.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7.xml" ContentType="application/vnd.openxmlformats-officedocument.drawing+xml"/>
  <Override PartName="/xl/drawings/drawing48.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9.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0.xml" ContentType="application/vnd.openxmlformats-officedocument.drawing+xml"/>
  <Override PartName="/xl/drawings/drawing51.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2.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3.xml" ContentType="application/vnd.openxmlformats-officedocument.drawing+xml"/>
  <Override PartName="/xl/drawings/drawing54.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55.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56.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57.xml" ContentType="application/vnd.openxmlformats-officedocument.drawing+xml"/>
  <Override PartName="/xl/drawings/drawing58.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59.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60.xml" ContentType="application/vnd.openxmlformats-officedocument.drawing+xml"/>
  <Override PartName="/xl/drawings/drawing61.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62.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63.xml" ContentType="application/vnd.openxmlformats-officedocument.drawing+xml"/>
  <Override PartName="/xl/drawings/drawing64.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65.xml" ContentType="application/vnd.openxmlformats-officedocument.drawing+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66.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67.xml" ContentType="application/vnd.openxmlformats-officedocument.drawing+xml"/>
  <Override PartName="/xl/drawings/drawing68.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69.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70.xml" ContentType="application/vnd.openxmlformats-officedocument.drawing+xml"/>
  <Override PartName="/xl/drawings/drawing71.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72.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7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codeName="BuÇalışmaKitabı"/>
  <mc:AlternateContent xmlns:mc="http://schemas.openxmlformats.org/markup-compatibility/2006">
    <mc:Choice Requires="x15">
      <x15ac:absPath xmlns:x15ac="http://schemas.microsoft.com/office/spreadsheetml/2010/11/ac" url="/Users/atakanzehir/Gemba Partner Mühendislik ve Yazılım A.Ş/Gemba Digital/TOOLS/ASSESSMENT/"/>
    </mc:Choice>
  </mc:AlternateContent>
  <xr:revisionPtr revIDLastSave="0" documentId="13_ncr:1_{57731953-CE36-8545-9510-04F4E8E69D4F}" xr6:coauthVersionLast="47" xr6:coauthVersionMax="47" xr10:uidLastSave="{00000000-0000-0000-0000-000000000000}"/>
  <bookViews>
    <workbookView xWindow="0" yWindow="760" windowWidth="30240" windowHeight="18880" tabRatio="928" activeTab="2" xr2:uid="{00000000-000D-0000-FFFF-FFFF00000000}"/>
  </bookViews>
  <sheets>
    <sheet name="Soru Listesi" sheetId="3" state="hidden" r:id="rId1"/>
    <sheet name="Veriler" sheetId="1" state="hidden" r:id="rId2"/>
    <sheet name="1" sheetId="62" r:id="rId3"/>
    <sheet name="2" sheetId="63" r:id="rId4"/>
    <sheet name="3" sheetId="64" r:id="rId5"/>
    <sheet name="4" sheetId="65" r:id="rId6"/>
    <sheet name="5" sheetId="66" r:id="rId7"/>
    <sheet name="6" sheetId="67" r:id="rId8"/>
    <sheet name="7" sheetId="68" r:id="rId9"/>
    <sheet name="8" sheetId="69" r:id="rId10"/>
    <sheet name="9" sheetId="70" r:id="rId11"/>
    <sheet name="10" sheetId="71" r:id="rId12"/>
    <sheet name="11" sheetId="72" r:id="rId13"/>
    <sheet name="12" sheetId="73" r:id="rId14"/>
    <sheet name="13" sheetId="74" r:id="rId15"/>
    <sheet name="14" sheetId="75" r:id="rId16"/>
    <sheet name="A-0" sheetId="45" r:id="rId17"/>
    <sheet name="A-1" sheetId="2" r:id="rId18"/>
    <sheet name="A-2" sheetId="4" r:id="rId19"/>
    <sheet name="B-0" sheetId="46" r:id="rId20"/>
    <sheet name="B-1" sheetId="5" r:id="rId21"/>
    <sheet name="B-2" sheetId="6" r:id="rId22"/>
    <sheet name="C-0" sheetId="47" r:id="rId23"/>
    <sheet name="C-1" sheetId="7" r:id="rId24"/>
    <sheet name="C-2" sheetId="8" r:id="rId25"/>
    <sheet name="D-0" sheetId="48" r:id="rId26"/>
    <sheet name="D-1" sheetId="9" r:id="rId27"/>
    <sheet name="D-2" sheetId="10" r:id="rId28"/>
    <sheet name="D-3" sheetId="11" r:id="rId29"/>
    <sheet name="E-0" sheetId="49" r:id="rId30"/>
    <sheet name="E-1" sheetId="12" r:id="rId31"/>
    <sheet name="E-2" sheetId="13" r:id="rId32"/>
    <sheet name="F-0" sheetId="50" r:id="rId33"/>
    <sheet name="F-1" sheetId="14" r:id="rId34"/>
    <sheet name="F-2" sheetId="15" r:id="rId35"/>
    <sheet name="G-0" sheetId="51" r:id="rId36"/>
    <sheet name="G-1" sheetId="16" r:id="rId37"/>
    <sheet name="G-2" sheetId="17" r:id="rId38"/>
    <sheet name="H-0" sheetId="52" r:id="rId39"/>
    <sheet name="H-1" sheetId="20" r:id="rId40"/>
    <sheet name="H-2" sheetId="21" r:id="rId41"/>
    <sheet name="H-3" sheetId="22" r:id="rId42"/>
    <sheet name="I-0" sheetId="53" r:id="rId43"/>
    <sheet name="I-1" sheetId="23" r:id="rId44"/>
    <sheet name="I-2" sheetId="24" r:id="rId45"/>
    <sheet name="J-0" sheetId="54" r:id="rId46"/>
    <sheet name="J-1" sheetId="25" r:id="rId47"/>
    <sheet name="J-2" sheetId="26" r:id="rId48"/>
    <sheet name="K-0" sheetId="77" r:id="rId49"/>
    <sheet name="K-1" sheetId="27" r:id="rId50"/>
    <sheet name="K-2" sheetId="28" r:id="rId51"/>
    <sheet name="L-0" sheetId="55" r:id="rId52"/>
    <sheet name="L-1" sheetId="29" r:id="rId53"/>
    <sheet name="L-2" sheetId="30" r:id="rId54"/>
    <sheet name="M-0" sheetId="56" r:id="rId55"/>
    <sheet name="M-1" sheetId="31" r:id="rId56"/>
    <sheet name="M-2" sheetId="32" r:id="rId57"/>
    <sheet name="M-3" sheetId="33" r:id="rId58"/>
    <sheet name="N-0" sheetId="57" r:id="rId59"/>
    <sheet name="N-1" sheetId="34" r:id="rId60"/>
    <sheet name="N-2" sheetId="35" r:id="rId61"/>
    <sheet name="O-0" sheetId="58" r:id="rId62"/>
    <sheet name="O-1" sheetId="36" r:id="rId63"/>
    <sheet name="O-2" sheetId="37" r:id="rId64"/>
    <sheet name="P-0" sheetId="59" r:id="rId65"/>
    <sheet name="P-1" sheetId="38" r:id="rId66"/>
    <sheet name="P-2" sheetId="39" r:id="rId67"/>
    <sheet name="P-3" sheetId="40" r:id="rId68"/>
    <sheet name="R-0" sheetId="60" r:id="rId69"/>
    <sheet name="R-1" sheetId="41" r:id="rId70"/>
    <sheet name="R-2" sheetId="42" r:id="rId71"/>
    <sheet name="S-0" sheetId="61" r:id="rId72"/>
    <sheet name="S-1" sheetId="43" r:id="rId73"/>
    <sheet name="S-2" sheetId="44" r:id="rId74"/>
    <sheet name="Final" sheetId="76" r:id="rId75"/>
  </sheets>
  <definedNames>
    <definedName name="_xlnm._FilterDatabase" localSheetId="0" hidden="1">'Soru Listesi'!$A$1:$G$2</definedName>
    <definedName name="_xlnm.Print_Area" localSheetId="2">'1'!$B$2:$N$27</definedName>
    <definedName name="_xlnm.Print_Area" localSheetId="11">'10'!$B$2:$N$27</definedName>
    <definedName name="_xlnm.Print_Area" localSheetId="12">'11'!$B$2:$M$27</definedName>
    <definedName name="_xlnm.Print_Area" localSheetId="13">'12'!$B$2:$M$27</definedName>
    <definedName name="_xlnm.Print_Area" localSheetId="14">'13'!$B$2:$M$27</definedName>
    <definedName name="_xlnm.Print_Area" localSheetId="15">'14'!$B$2:$M$27</definedName>
    <definedName name="_xlnm.Print_Area" localSheetId="3">'2'!$B$2:$M$27</definedName>
    <definedName name="_xlnm.Print_Area" localSheetId="4">'3'!$B$2:$N$27</definedName>
    <definedName name="_xlnm.Print_Area" localSheetId="5">'4'!$B$2:$M$27</definedName>
    <definedName name="_xlnm.Print_Area" localSheetId="6">'5'!$B$2:$M$28</definedName>
    <definedName name="_xlnm.Print_Area" localSheetId="7">'6'!$B$2:$M$28</definedName>
    <definedName name="_xlnm.Print_Area" localSheetId="8">'7'!$B$2:$N$27</definedName>
    <definedName name="_xlnm.Print_Area" localSheetId="9">'8'!$B$2:$P$31</definedName>
    <definedName name="_xlnm.Print_Area" localSheetId="10">'9'!$B$2:$M$28</definedName>
    <definedName name="_xlnm.Print_Area" localSheetId="16">'A-0'!$B$2:$N$27</definedName>
    <definedName name="_xlnm.Print_Area" localSheetId="17">'A-1'!$B$1:$E$7</definedName>
    <definedName name="_xlnm.Print_Area" localSheetId="18">'A-2'!$B$1:$E$7</definedName>
    <definedName name="_xlnm.Print_Area" localSheetId="19">'B-0'!$B$2:$N$27</definedName>
    <definedName name="_xlnm.Print_Area" localSheetId="20">'B-1'!$B$1:$E$7</definedName>
    <definedName name="_xlnm.Print_Area" localSheetId="21">'B-2'!$B$1:$E$7</definedName>
    <definedName name="_xlnm.Print_Area" localSheetId="22">'C-0'!$B$2:$N$27</definedName>
    <definedName name="_xlnm.Print_Area" localSheetId="23">'C-1'!$B$1:$E$7</definedName>
    <definedName name="_xlnm.Print_Area" localSheetId="24">'C-2'!$B$1:$E$7</definedName>
    <definedName name="_xlnm.Print_Area" localSheetId="25">'D-0'!$B$2:$N$27</definedName>
    <definedName name="_xlnm.Print_Area" localSheetId="26">'D-1'!$B$1:$E$7</definedName>
    <definedName name="_xlnm.Print_Area" localSheetId="27">'D-2'!$B$1:$E$7</definedName>
    <definedName name="_xlnm.Print_Area" localSheetId="28">'D-3'!$B$1:$E$7</definedName>
    <definedName name="_xlnm.Print_Area" localSheetId="29">'E-0'!$B$2:$N$27</definedName>
    <definedName name="_xlnm.Print_Area" localSheetId="30">'E-1'!$B$1:$E$7</definedName>
    <definedName name="_xlnm.Print_Area" localSheetId="31">'E-2'!$B$1:$E$7</definedName>
    <definedName name="_xlnm.Print_Area" localSheetId="32">'F-0'!$B$2:$N$27</definedName>
    <definedName name="_xlnm.Print_Area" localSheetId="33">'F-1'!$B$1:$E$7</definedName>
    <definedName name="_xlnm.Print_Area" localSheetId="34">'F-2'!$B$1:$E$7</definedName>
    <definedName name="_xlnm.Print_Area" localSheetId="74">Final!$B$2:$N$28</definedName>
    <definedName name="_xlnm.Print_Area" localSheetId="35">'G-0'!$B$2:$N$27</definedName>
    <definedName name="_xlnm.Print_Area" localSheetId="36">'G-1'!$B$1:$E$7</definedName>
    <definedName name="_xlnm.Print_Area" localSheetId="37">'G-2'!$B$1:$E$7</definedName>
    <definedName name="_xlnm.Print_Area" localSheetId="38">'H-0'!$B$2:$N$27</definedName>
    <definedName name="_xlnm.Print_Area" localSheetId="39">'H-1'!$B$1:$E$7</definedName>
    <definedName name="_xlnm.Print_Area" localSheetId="40">'H-2'!$B$1:$E$7</definedName>
    <definedName name="_xlnm.Print_Area" localSheetId="41">'H-3'!$B$1:$E$7</definedName>
    <definedName name="_xlnm.Print_Area" localSheetId="42">'I-0'!$B$2:$N$27</definedName>
    <definedName name="_xlnm.Print_Area" localSheetId="43">'I-1'!$B$1:$E$7</definedName>
    <definedName name="_xlnm.Print_Area" localSheetId="44">'I-2'!$B$1:$E$7</definedName>
    <definedName name="_xlnm.Print_Area" localSheetId="45">'J-0'!$B$2:$N$27</definedName>
    <definedName name="_xlnm.Print_Area" localSheetId="46">'J-1'!$B$1:$E$7</definedName>
    <definedName name="_xlnm.Print_Area" localSheetId="47">'J-2'!$B$1:$E$7</definedName>
    <definedName name="_xlnm.Print_Area" localSheetId="48">'K-0'!$B$2:$N$27</definedName>
    <definedName name="_xlnm.Print_Area" localSheetId="49">'K-1'!$B$1:$E$7</definedName>
    <definedName name="_xlnm.Print_Area" localSheetId="50">'K-2'!$B$1:$E$7</definedName>
    <definedName name="_xlnm.Print_Area" localSheetId="51">'L-0'!$B$2:$N$27</definedName>
    <definedName name="_xlnm.Print_Area" localSheetId="52">'L-1'!$B$1:$E$7</definedName>
    <definedName name="_xlnm.Print_Area" localSheetId="53">'L-2'!$B$1:$E$7</definedName>
    <definedName name="_xlnm.Print_Area" localSheetId="54">'M-0'!$B$2:$N$27</definedName>
    <definedName name="_xlnm.Print_Area" localSheetId="55">'M-1'!$B$1:$E$7</definedName>
    <definedName name="_xlnm.Print_Area" localSheetId="56">'M-2'!$B$1:$E$7</definedName>
    <definedName name="_xlnm.Print_Area" localSheetId="57">'M-3'!$B$1:$E$7</definedName>
    <definedName name="_xlnm.Print_Area" localSheetId="58">'N-0'!$B$2:$N$27</definedName>
    <definedName name="_xlnm.Print_Area" localSheetId="59">'N-1'!$B$1:$E$7</definedName>
    <definedName name="_xlnm.Print_Area" localSheetId="60">'N-2'!$B$1:$E$7</definedName>
    <definedName name="_xlnm.Print_Area" localSheetId="61">'O-0'!$B$2:$N$27</definedName>
    <definedName name="_xlnm.Print_Area" localSheetId="62">'O-1'!$B$1:$E$7</definedName>
    <definedName name="_xlnm.Print_Area" localSheetId="63">'O-2'!$B$1:$E$7</definedName>
    <definedName name="_xlnm.Print_Area" localSheetId="64">'P-0'!$B$2:$N$27</definedName>
    <definedName name="_xlnm.Print_Area" localSheetId="65">'P-1'!$B$1:$E$7</definedName>
    <definedName name="_xlnm.Print_Area" localSheetId="66">'P-2'!$B$1:$E$7</definedName>
    <definedName name="_xlnm.Print_Area" localSheetId="67">'P-3'!$B$1:$E$7</definedName>
    <definedName name="_xlnm.Print_Area" localSheetId="68">'R-0'!$B$2:$N$27</definedName>
    <definedName name="_xlnm.Print_Area" localSheetId="69">'R-1'!$B$1:$E$7</definedName>
    <definedName name="_xlnm.Print_Area" localSheetId="70">'R-2'!$B$1:$E$7</definedName>
    <definedName name="_xlnm.Print_Area" localSheetId="71">'S-0'!$B$2:$N$27</definedName>
    <definedName name="_xlnm.Print_Area" localSheetId="72">'S-1'!$B$1:$E$7</definedName>
    <definedName name="_xlnm.Print_Area" localSheetId="73">'S-2'!$B$1:$E$7</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<sst xmlns="http://schemas.openxmlformats.org/spreadsheetml/2006/main" count="2383" uniqueCount="860">
  <si>
    <t>IDID</t>
  </si>
  <si>
    <t>PUAN</t>
  </si>
  <si>
    <t>SONUÇ</t>
  </si>
  <si>
    <t>NOTLAR</t>
  </si>
  <si>
    <t>İDEAL DURUM ID</t>
  </si>
  <si>
    <t>AĞIRLIK</t>
  </si>
  <si>
    <t>İDEAL DURUM</t>
  </si>
  <si>
    <t>İNCELEME KONUSU</t>
  </si>
  <si>
    <t>İNCELEME KONUSU ID</t>
  </si>
  <si>
    <t>KONU</t>
  </si>
  <si>
    <t>KONU ID</t>
  </si>
  <si>
    <t>A1.1</t>
  </si>
  <si>
    <t>A</t>
  </si>
  <si>
    <t>DESTEK</t>
  </si>
  <si>
    <t>A1</t>
  </si>
  <si>
    <t>FARKINDALIK OLUŞTURMA</t>
  </si>
  <si>
    <t>A2.1</t>
  </si>
  <si>
    <t>ORGANİZASYON</t>
  </si>
  <si>
    <t>A2</t>
  </si>
  <si>
    <t>RAPORLAMA</t>
  </si>
  <si>
    <t>A3.1</t>
  </si>
  <si>
    <t>VİZYON</t>
  </si>
  <si>
    <t>A3</t>
  </si>
  <si>
    <t>HEDEFLER - STRATEJİLER</t>
  </si>
  <si>
    <t>ŞİRKETİN ANA HEDEFLERİ 5 ANA MİSYONA HİZMET ETMEKTEDİR. ANA HEDEFLER KALİTE, MALİYET, SEVKİYAT, (ÜRETİM,BAKIM), İŞ GÜVENLİĞİ, İNSAN KAYNAKLARI VB. GİBİ ŞİRKETİN GELİŞİMESİ İÇİN ÖNEMLİ NOKTALARI İÇERMEKTEDİR.</t>
  </si>
  <si>
    <t>5 ANA MİSYON</t>
  </si>
  <si>
    <t>A4.1</t>
  </si>
  <si>
    <t>KATILIMCI YÖNETİM</t>
  </si>
  <si>
    <t>A4</t>
  </si>
  <si>
    <t>DEPARTMANLARIN FAALİYETLERİ İZLENEBİLİR BİR YAPIDADIR. AYLIK FAALİYETLER -HEDEF GERÇEKLEŞME SONUÇLARI - HOSHIN / B.S.C ( BALANCE SCORECARD) GİBİ YAPILARLA AYLIK OLARAK YÖNDETİMİNDE KATILDIĞI TOPLANTILARLA TAKİP EDİLİR (VE SONUÇLAR GÖRSELLEŞTİRİLİR. )</t>
  </si>
  <si>
    <t>HEDEF TAKİP</t>
  </si>
  <si>
    <t>ANALİZ</t>
  </si>
  <si>
    <t>B1.1</t>
  </si>
  <si>
    <t>YILLIK HEDEF PLANLARI BİR BÜTÇE DAHİLİNDE OLUŞTURULMUŞ, HEDEFLENEN KAR ORANI BELİRLENMİŞTİR. İSTENİLEN KARLILIĞA ULAŞABİLMEK İÇİN ODAKLANILMIŞ MAALİYET AZALTICI PROGRAMLAR OLUŞTURULARAK TAKİP EDİLMEKTEDİR</t>
  </si>
  <si>
    <t>DEĞER &amp; MALİYET YÖNETİMİ</t>
  </si>
  <si>
    <t>B</t>
  </si>
  <si>
    <t>B1</t>
  </si>
  <si>
    <t>B2.1</t>
  </si>
  <si>
    <t>DEĞER YÖNETİMİ</t>
  </si>
  <si>
    <t>B2</t>
  </si>
  <si>
    <t>B3.1</t>
  </si>
  <si>
    <t>DAR BOĞAZ ANALİZLERİ</t>
  </si>
  <si>
    <t>B3</t>
  </si>
  <si>
    <t>C1.1</t>
  </si>
  <si>
    <t>EĞİTİM VE IK YÖNETİMİ</t>
  </si>
  <si>
    <t>C</t>
  </si>
  <si>
    <t>EĞİTİM YÖNETİMİ</t>
  </si>
  <si>
    <t>C1</t>
  </si>
  <si>
    <t>GERÇEKLEŞTİRİLEN EĞİTİMLER, SONUÇLARI VE ÇIKTILARI  IK TARAFINDAN DEĞERLENDİRİLİR KAYIT ALTINA ALINIR. TAMAMLANAN DÖNGÜLERİN YERİNE  GELECEK PLANINA YÖNELİK EĞİTİMLER PLANLANLANIR</t>
  </si>
  <si>
    <t>C2.1</t>
  </si>
  <si>
    <t>C2</t>
  </si>
  <si>
    <t>C2.2</t>
  </si>
  <si>
    <t>C3.1</t>
  </si>
  <si>
    <t>LİDER GELİŞİMİ</t>
  </si>
  <si>
    <t>C3</t>
  </si>
  <si>
    <t>C4.1</t>
  </si>
  <si>
    <t>C4</t>
  </si>
  <si>
    <t>D1.1</t>
  </si>
  <si>
    <t>GÜVENLİK &amp; ERGONOMİ</t>
  </si>
  <si>
    <t>D</t>
  </si>
  <si>
    <t>D1</t>
  </si>
  <si>
    <t>D2.1</t>
  </si>
  <si>
    <t>D2</t>
  </si>
  <si>
    <t>D3.1</t>
  </si>
  <si>
    <t>D3</t>
  </si>
  <si>
    <t>D4.1</t>
  </si>
  <si>
    <t>D4</t>
  </si>
  <si>
    <t>D5.1</t>
  </si>
  <si>
    <t>HATLARDA ÇALIŞMA ALANLARI OPERATÖRÜN ERGONOMİSİ DİKKATE ALINARAK KURULMUŞTUR. STANDART İŞ TABLOLARINDA ERGONOMİ VE GÜVENLİĞE DİKKAT GEREKTİREN NOKTALAR BELİRLEMİŞ VE DÖNEMSEL OLARAK KONTROL EDİLEREK GÜNCELLİĞİ SAĞLANMAKTADIR.</t>
  </si>
  <si>
    <t>ERGONOMİ İYİLEŞTİRME</t>
  </si>
  <si>
    <t>D5</t>
  </si>
  <si>
    <t>D6.1</t>
  </si>
  <si>
    <t>SAHA ÇALIŞANLARINDA ISG BİLİNCİ ARTTIRMAK İÇİN EKİPLER OLUŞTURULARAK ÇEMBER ÇALIŞMLARI VEYA (KY) TEHLİKE TAHMİN ÇALIŞMALARI ORGANİZE EDİLİR, RİSK VE TEHLİKE ÖNGÖRÜ EĞİTİMLERİ İLE ÇALIŞANIN KENDİ SAHASINI GÜVENLİ HALE GETİRMESİ SAĞLANIR.</t>
  </si>
  <si>
    <t>TEHLİKE TAHMİN</t>
  </si>
  <si>
    <t>D6</t>
  </si>
  <si>
    <t>E1.1</t>
  </si>
  <si>
    <t>5S</t>
  </si>
  <si>
    <t>E</t>
  </si>
  <si>
    <t>E2.1</t>
  </si>
  <si>
    <t>UYGULAMA</t>
  </si>
  <si>
    <t>E3.1</t>
  </si>
  <si>
    <t>KORUMA VE GELİŞTİRME</t>
  </si>
  <si>
    <t>E3</t>
  </si>
  <si>
    <t>FABRİKA TEMEL KİRLİLİK KAYNAKLARI 5S İLE MATRİSLİ BİR YAPIDA GÖRSELLEŞTİRİLMİŞ VE KİRLİLİK KAYNAKLARINI AZALATMA KONUSUNDA ÇALIŞMALAR BAŞLATILMIŞTIR.  HER BİR ÇALIŞMA KAİZEN KONUSU OLARAK ELE ALINARAK 5S FAALİYETLERİN PROBLEM ÇÖZME FONKSİYONU ORTAYA ÇIKARTILMIŞTIR.</t>
  </si>
  <si>
    <t>F1.1</t>
  </si>
  <si>
    <t>GÖRSEL FABRİKA</t>
  </si>
  <si>
    <t>F</t>
  </si>
  <si>
    <t>F1</t>
  </si>
  <si>
    <t>F2.1</t>
  </si>
  <si>
    <t>F2</t>
  </si>
  <si>
    <t>GÖRSEL KONTROL ARAÇLARI KONTROL VE YÖNETİM ARACI OLARAK İYİLEŞTİRME UNUSURU OLARAK TÜM SAHADA KULLANILMAKTA KONUNUN ÖNEMİNE DİKKAT ÇEKİLMEKTEDİR. ( SAYAÇ KONTOLLERİ, EKİPMAN ŞEFFAF ALANLAR, GÖRSEL SAATLER )</t>
  </si>
  <si>
    <t>HATLARDA KALİTE GÜVENCE &amp; OPERASYONEL VERİMLİLİK İÇİN GÖRSEL TALİMATLAR ( RESİMLİ VE RENK KODLARI İLE ANLATIM.) SIKLIKLA KULLANILMAKTADIR. OPERATÖRÜN İŞİNİ KOLAYLAŞTIRACAK FONKSİYONLARA SAHİPTİR.</t>
  </si>
  <si>
    <t>G1.1</t>
  </si>
  <si>
    <t>G</t>
  </si>
  <si>
    <t>G1</t>
  </si>
  <si>
    <t>G2.1</t>
  </si>
  <si>
    <t>G2</t>
  </si>
  <si>
    <t>G3.1</t>
  </si>
  <si>
    <t>BİRİM İŞ</t>
  </si>
  <si>
    <t>G3</t>
  </si>
  <si>
    <t>G4.1</t>
  </si>
  <si>
    <t>G4</t>
  </si>
  <si>
    <t>G5.1</t>
  </si>
  <si>
    <t>S/W FONKSİYONU</t>
  </si>
  <si>
    <t>G5</t>
  </si>
  <si>
    <t>G6.1</t>
  </si>
  <si>
    <t>OPERATÖRLERİN STANDART İŞE UYUMLARI PERİODİK OLARAK DENETLENMEKTEDİR. ÇIKAN UYGUNSUZLUKLAR DOĞRULTUSUNDA EĞİTİM VE AKSİYONLAR PLANLANMAKTADIR</t>
  </si>
  <si>
    <t>G6</t>
  </si>
  <si>
    <t>G7.1</t>
  </si>
  <si>
    <t>G7</t>
  </si>
  <si>
    <t>H1.1</t>
  </si>
  <si>
    <t>İYİLEŞTİRME / GELİŞİM</t>
  </si>
  <si>
    <t>H</t>
  </si>
  <si>
    <t>H1</t>
  </si>
  <si>
    <t>H2.1</t>
  </si>
  <si>
    <t>H2</t>
  </si>
  <si>
    <t>H3.1</t>
  </si>
  <si>
    <t>H3</t>
  </si>
  <si>
    <t>H4.1</t>
  </si>
  <si>
    <t>H4</t>
  </si>
  <si>
    <t>H5.1</t>
  </si>
  <si>
    <t>GERÇEKLEŞTİRİLEN KAİZENLERİN SONUÇLARI TEK BİR ALANDA SINIRLI KALMAYIP YOKOTEN FAALİYETLERİ İLE TÜM SAHA VE ORGANİZASYON GENELİNE YAYGINLAŞTIRILARAK TÜM SÜREÇLERİN GELİŞİMİ HIZLI BİR ŞEKİLDE SAĞLANMAKTADIR</t>
  </si>
  <si>
    <t>H5</t>
  </si>
  <si>
    <t>H6.1</t>
  </si>
  <si>
    <t>TAKIM ÇALIŞMASI</t>
  </si>
  <si>
    <t>H6</t>
  </si>
  <si>
    <t>H7.1</t>
  </si>
  <si>
    <t>H7</t>
  </si>
  <si>
    <t>H8.1</t>
  </si>
  <si>
    <t>H8</t>
  </si>
  <si>
    <t>H9.1</t>
  </si>
  <si>
    <t>PROBLEM ÇÖZME</t>
  </si>
  <si>
    <t>H9</t>
  </si>
  <si>
    <t>H10.1</t>
  </si>
  <si>
    <t>STANDARDİZASYON</t>
  </si>
  <si>
    <t>H10</t>
  </si>
  <si>
    <t>I1.1</t>
  </si>
  <si>
    <t>SMED -C/O AZALTMA</t>
  </si>
  <si>
    <t>I</t>
  </si>
  <si>
    <t>I1</t>
  </si>
  <si>
    <t>I2.1</t>
  </si>
  <si>
    <t>I2</t>
  </si>
  <si>
    <t>I3.1</t>
  </si>
  <si>
    <t>I3</t>
  </si>
  <si>
    <t>I4.1</t>
  </si>
  <si>
    <t>I4</t>
  </si>
  <si>
    <t>I5.1</t>
  </si>
  <si>
    <t>YAPILAN UYGULAMALARLA C/O SURELERİ PLANSIZ DURUŞ OLARAK HAT YÖNETİM / ASAKAİ PANOLARINDA ALT HEDEF OLARAK SORGULANMAKTA  VE SAPMALAR SORGULANARAK KAİZENLERLE SÜREKLİ İYİLEŞTİRİLMEKTEDİR</t>
  </si>
  <si>
    <t>I5</t>
  </si>
  <si>
    <t>I6.1</t>
  </si>
  <si>
    <t>I6</t>
  </si>
  <si>
    <t>J1.1</t>
  </si>
  <si>
    <t>TEK PARÇA AKIŞI / ESNEK İŞ GÜCÜ</t>
  </si>
  <si>
    <t>J</t>
  </si>
  <si>
    <t>J1</t>
  </si>
  <si>
    <t>J2.1</t>
  </si>
  <si>
    <t>J2</t>
  </si>
  <si>
    <t>J2.2</t>
  </si>
  <si>
    <t>ESNEK İŞ GÜCÜ YAPISINDA ÇALIŞACAK ADAMLARIN HAT İÇİNDEKİ YERLEŞİMLERİ VE İŞ YÜKLERİ S/W KARTLARI ÜZERİNDE TANIMLANMIŞTIR. TALEP DALGALANMASINA GÖRE BU KARTLAR DEVREYE GİRER.</t>
  </si>
  <si>
    <t>J3.1</t>
  </si>
  <si>
    <t>TEK PARÇA AKIŞI</t>
  </si>
  <si>
    <t>J3</t>
  </si>
  <si>
    <t>J4.1</t>
  </si>
  <si>
    <t>J4</t>
  </si>
  <si>
    <t>K1.1</t>
  </si>
  <si>
    <t>ÜRETİM -PROSES UYGULAMALARI</t>
  </si>
  <si>
    <t>K</t>
  </si>
  <si>
    <t>PERFORMANS TAKİBİ</t>
  </si>
  <si>
    <t>K1</t>
  </si>
  <si>
    <t>K2.1</t>
  </si>
  <si>
    <t>K2</t>
  </si>
  <si>
    <t>K3.1</t>
  </si>
  <si>
    <t>KAPASİTE ANALİZLERİ</t>
  </si>
  <si>
    <t>K3</t>
  </si>
  <si>
    <t>K4.1</t>
  </si>
  <si>
    <t>PROSES 5S</t>
  </si>
  <si>
    <t>K4</t>
  </si>
  <si>
    <t>K5.1</t>
  </si>
  <si>
    <t>ÜRETİM TİPİ KÜÇÜK LOT ÜRETİMİ ŞEKLİNDE YAPILMAKTADIR VE GEREKLİ ÜRÜNÜ GEREKTİĞİ KADAR GEREKLİ ZAMANDA ÜRET PRENSİBİNE UYGUN HAREKET EDİLMEKTEDİR.</t>
  </si>
  <si>
    <t>K5</t>
  </si>
  <si>
    <t>K6.1</t>
  </si>
  <si>
    <t>K6</t>
  </si>
  <si>
    <t>HAT SEVİYELENDİRMESİ YAPILMASI DURUMUNDA HAT İŞ YÜKÜ GÖRSEL OLARAK TAKİP EDİLEBİLMEKTEDİR. KAYIPLAR NEDENLERİ İLE BİRLİKTE KAYIT ALTINA ALINMAKTADIR. ( ÖRNE. PC BOARD- HEIJUNKA İŞ YÜKÜ PANOSU- KANBAN POSTALARI VB GİBİ )</t>
  </si>
  <si>
    <t>L1.1</t>
  </si>
  <si>
    <t>SAHA YÖNETİM ORGANİZASYONU OPERATÖR- (HAT LİDERİ) - LİDER - GRUP LİDERİ ŞEKLİNDE SAHANIN BÜTÜNÜNÜ VE ÜRETİM AKIŞINI YÖNETECEK ŞEKİLDE OLUŞTURULMUŞ.</t>
  </si>
  <si>
    <t>SAHA YÖNETİMİ &amp; LİDERLİK</t>
  </si>
  <si>
    <t>L</t>
  </si>
  <si>
    <t>L1</t>
  </si>
  <si>
    <t>L2.1</t>
  </si>
  <si>
    <t>VARDİYA DEĞİŞİMLERİ BİLGİ TRANSFERİ İLE YAPILMAKTADIR. OLUŞAN PROBLEMLER, ANORMAL DURUMLAR VARDİYALAR ARASI LİDERLERE AKTARILMAKTADIR.</t>
  </si>
  <si>
    <t>VARDİYA BİLGİ YÖNETİMİ</t>
  </si>
  <si>
    <t>L2</t>
  </si>
  <si>
    <t>L3.1</t>
  </si>
  <si>
    <t>L3</t>
  </si>
  <si>
    <t>L4.1</t>
  </si>
  <si>
    <t>L4</t>
  </si>
  <si>
    <t>L5.1</t>
  </si>
  <si>
    <t>L5</t>
  </si>
  <si>
    <t>L6.1</t>
  </si>
  <si>
    <t>L6</t>
  </si>
  <si>
    <t>L7.1</t>
  </si>
  <si>
    <t>PDCA</t>
  </si>
  <si>
    <t>L7</t>
  </si>
  <si>
    <t>L8.1</t>
  </si>
  <si>
    <t>M1.1</t>
  </si>
  <si>
    <t>M</t>
  </si>
  <si>
    <t>M1</t>
  </si>
  <si>
    <t>M2.1</t>
  </si>
  <si>
    <t>M2</t>
  </si>
  <si>
    <t>M3.1</t>
  </si>
  <si>
    <t>M3</t>
  </si>
  <si>
    <t>M4.1</t>
  </si>
  <si>
    <t>M4</t>
  </si>
  <si>
    <t>HATALI PARÇA, YANLIŞ ÜRÜN AKIŞINI ENGELLEMEK VE YANLIŞ ETİKET KARIŞMASININ ÖNÜNE GEÇMEK İÇİN SAHA VE OPERAYON ALANI DÜZENİ KURULMUŞ, KALİTE İÇİN 5S ŞARTLARI OLUŞTURULMUŞTUR.</t>
  </si>
  <si>
    <t>M5.1</t>
  </si>
  <si>
    <t>M5</t>
  </si>
  <si>
    <t>M6.1</t>
  </si>
  <si>
    <t>M6</t>
  </si>
  <si>
    <t>N1.1</t>
  </si>
  <si>
    <t>PLANLAMA TARAFINDAN ZAMANINDA TESLİMAT HEDEFİ TAKİP EDİLMEKTE VE İYİLEŞTİRME PROGRAMLARINA ALINMAKTADIR. TESLİMAT PROBLEMLERİNE NEDEN OLAN UNSURLAR ALT HEDEF OLARAK TAKİP EDİLMEKTEDİR. ( PLANSIZ DURUŞ VS. )</t>
  </si>
  <si>
    <t>N</t>
  </si>
  <si>
    <t>N1</t>
  </si>
  <si>
    <t>N2.1</t>
  </si>
  <si>
    <t>N2</t>
  </si>
  <si>
    <t>N3.1</t>
  </si>
  <si>
    <t>N3</t>
  </si>
  <si>
    <t>N4.1</t>
  </si>
  <si>
    <t>PLANLAMA ÜRETİMİN GÜNLÜK OLARAK   GERÇEKLEŞEN / PLANA UYUM ŞEKLİNDE ÜRETİM PERFORMANSINI SABAH TOPLANTILARINDA TAKİP EDER.</t>
  </si>
  <si>
    <t>N4</t>
  </si>
  <si>
    <t>N5.1</t>
  </si>
  <si>
    <t>N5</t>
  </si>
  <si>
    <t>N6.1</t>
  </si>
  <si>
    <t>SEVKİYAT PLANLARI OLUŞTURULMUŞTUR.  SEVKİYAT ALANINDA KONTROL ÇİZELGELERİ / TABLOLARLA TAKİP EDİLMEKTDİR.</t>
  </si>
  <si>
    <t>N6</t>
  </si>
  <si>
    <t>O1.1</t>
  </si>
  <si>
    <t>O</t>
  </si>
  <si>
    <t>O1</t>
  </si>
  <si>
    <t>O2.1</t>
  </si>
  <si>
    <t>O2</t>
  </si>
  <si>
    <t>O3.1</t>
  </si>
  <si>
    <t>O3</t>
  </si>
  <si>
    <t>O4.1</t>
  </si>
  <si>
    <t>O4</t>
  </si>
  <si>
    <t>O5.1</t>
  </si>
  <si>
    <t>O5</t>
  </si>
  <si>
    <t>P1.1</t>
  </si>
  <si>
    <t>P</t>
  </si>
  <si>
    <t>P1</t>
  </si>
  <si>
    <t>P2.1</t>
  </si>
  <si>
    <t>P3.1</t>
  </si>
  <si>
    <t>P3</t>
  </si>
  <si>
    <t>P4.1</t>
  </si>
  <si>
    <t>KESTİRİMCİ/ÖNLEYİCİ BAKIM FAALİYETLERİ İÇİN GEREKLİ VERİLER TOPLANMAKTA RİSK DEĞERLENDİRMESİ YAPILARAK İŞLETME İÇİN ÖNEMLİ OLDUĞU SAPTANMIŞ EKİPMANDA  TREND  MANUEL VEYA OTOMATİK YÖNTEMLE GÖZLENEREK  YAKLAŞMAKTA OLAN ÖNEMLİ ARIZALARI ÖNCEDEN TESBİT VE İLGİLİ AKSİYONU ALMA SİSTEMİ UYGULANMAKTADIR.</t>
  </si>
  <si>
    <t>KESTİRİMCİ BAKIM</t>
  </si>
  <si>
    <t>P4</t>
  </si>
  <si>
    <t>P4.2</t>
  </si>
  <si>
    <t>P5.1</t>
  </si>
  <si>
    <t>BÜTÇE TAKİBİ : YILLIK SATIŞ ÖNGÖRÜSÜYLE EŞLEŞTİRİLMİŞ, DOĞRUDAN VE DOLAYLI MALİYETLER AYRIMI YAPILMIŞ , PLANLI BAKIM DÖNEMLERİ GÖZÖNÜNE ALINARAK  AYRINTILANDIRILMIŞ ,BÖLÜM ÇALIŞANLARI TARAFINDAN  BİLİNEN VE SAHADA GÖRSEL TAKİBİ YAPILAN BAKIM BÜTÇESİNİN MEVCUDİYETİ .</t>
  </si>
  <si>
    <t>P5</t>
  </si>
  <si>
    <t>P6.1</t>
  </si>
  <si>
    <t>KRİTİK EKİPMAN VE KRİTİK YEDEK PARÇA ÇALIŞMALARI SİSTEMATİK OLARAK YAPILMAKTA VE YEDEKPARÇA VE EKİPMAN TEMİNLERİ BU ÇALIŞMAYA UYGUN OLARAK YAPILMAKTADIR.   KRİTİK YEDEK PARÇA TÜKETİMİ YIL SONUNDA ARİZA SÜRESİ VE MALİYETLERİ İLE KARŞILAŞTIRILARAK ETKİNLİK ÖLÇÜLMEKTEDİR.</t>
  </si>
  <si>
    <t>P6</t>
  </si>
  <si>
    <t>P7.1</t>
  </si>
  <si>
    <t>P7</t>
  </si>
  <si>
    <t>P8.1</t>
  </si>
  <si>
    <t>P8</t>
  </si>
  <si>
    <t>P9.1</t>
  </si>
  <si>
    <t>ERKEN EKİPMAN YÖNETİMİ</t>
  </si>
  <si>
    <t>P9</t>
  </si>
  <si>
    <t>R1.1</t>
  </si>
  <si>
    <t>R</t>
  </si>
  <si>
    <t>R1</t>
  </si>
  <si>
    <t>R2.1</t>
  </si>
  <si>
    <t>R2</t>
  </si>
  <si>
    <t>R3.1</t>
  </si>
  <si>
    <t>R3</t>
  </si>
  <si>
    <t>R4.1</t>
  </si>
  <si>
    <t>HATA TESPİT</t>
  </si>
  <si>
    <t>R4</t>
  </si>
  <si>
    <t>R5.1</t>
  </si>
  <si>
    <t>YETKİNLİK GELİŞİMİ</t>
  </si>
  <si>
    <t>R5</t>
  </si>
  <si>
    <t>R6.1</t>
  </si>
  <si>
    <t>S1.1</t>
  </si>
  <si>
    <t>S</t>
  </si>
  <si>
    <t>S1</t>
  </si>
  <si>
    <t>S2.1</t>
  </si>
  <si>
    <t>S2</t>
  </si>
  <si>
    <t>S3.1</t>
  </si>
  <si>
    <t>S4.1</t>
  </si>
  <si>
    <t>S4</t>
  </si>
  <si>
    <t>S5.1</t>
  </si>
  <si>
    <t>S5</t>
  </si>
  <si>
    <t>S5.2</t>
  </si>
  <si>
    <t>S6.1</t>
  </si>
  <si>
    <t>#</t>
  </si>
  <si>
    <t>TESPİT</t>
  </si>
  <si>
    <t>PUAN DAĞILIMI</t>
  </si>
  <si>
    <t>SORU ID</t>
  </si>
  <si>
    <t>ID</t>
  </si>
  <si>
    <t>KAR ODAKLILIK</t>
  </si>
  <si>
    <t>OPERASYONEL MALİTET</t>
  </si>
  <si>
    <t>6 BÜYÜK KAYIP</t>
  </si>
  <si>
    <t>ENDİREK MALZEME</t>
  </si>
  <si>
    <t>AKSİYON YÖNETİMİ</t>
  </si>
  <si>
    <t>DEĞER YETKİNLİK GELİŞİMİ</t>
  </si>
  <si>
    <t>GELİŞİM HEDEFLERİ</t>
  </si>
  <si>
    <t>BECERİ MATRİSLERİ</t>
  </si>
  <si>
    <t>UYGULAMALI EĞİTİMLER</t>
  </si>
  <si>
    <t>NİTELİKİK TAKİBİ</t>
  </si>
  <si>
    <t>TEK NOKTA EĞİTİMLERİ</t>
  </si>
  <si>
    <t>FAALİYET YÖNETİMİ</t>
  </si>
  <si>
    <t>RİSK ANALİZLERİ</t>
  </si>
  <si>
    <t>LİDERİN ROLÜ</t>
  </si>
  <si>
    <t>FAALİYET TAKVİMİ</t>
  </si>
  <si>
    <t>İSG HEDEFLERİ</t>
  </si>
  <si>
    <t>İSG KAIZEN</t>
  </si>
  <si>
    <t>SAHA DEVRİYESİ</t>
  </si>
  <si>
    <t>ERGONOMİ</t>
  </si>
  <si>
    <t>STOP 6</t>
  </si>
  <si>
    <t>DENETİM RAPORLAMA</t>
  </si>
  <si>
    <t>GELİŞTİRME</t>
  </si>
  <si>
    <t>GÜVENLİK FONKSİYONU</t>
  </si>
  <si>
    <t>MUDA ELİMİNASYON</t>
  </si>
  <si>
    <t>ALAN TANIMLARI</t>
  </si>
  <si>
    <t>GÖRSEL STANDARTLAR</t>
  </si>
  <si>
    <t>PROBLEMİN GÖRSELLİĞİ</t>
  </si>
  <si>
    <t>GÖRSEL KALİTE</t>
  </si>
  <si>
    <t>PANO YÖNETİMİ</t>
  </si>
  <si>
    <t>GÖRSEL KONTROL ARAÇLARI</t>
  </si>
  <si>
    <t>STANDART İŞ</t>
  </si>
  <si>
    <t>WIP STANDARDİZASYONU</t>
  </si>
  <si>
    <t>ÇOKLU BECERİ</t>
  </si>
  <si>
    <t>ANORMAL DURUM STANDARTLARI</t>
  </si>
  <si>
    <t>3M ANALİZLERİ</t>
  </si>
  <si>
    <t>ÖNERİ SİSTEMİ</t>
  </si>
  <si>
    <t>TAKTİR VE TANIMA</t>
  </si>
  <si>
    <t>KAMPANYA</t>
  </si>
  <si>
    <t>KAİZEN HEDEFLERİ</t>
  </si>
  <si>
    <t>KAİZEN EĞİTİMLERİ</t>
  </si>
  <si>
    <t>7 TEMEL İSRAF</t>
  </si>
  <si>
    <t>YAYGINLAŞTIRMA</t>
  </si>
  <si>
    <t>PLANSIZ DURUŞ</t>
  </si>
  <si>
    <t>SMED ANALİZİ</t>
  </si>
  <si>
    <t>İÇ-DIŞ SÜRE AZALTMA</t>
  </si>
  <si>
    <t>SMED EĞİTİMLERİ</t>
  </si>
  <si>
    <t>ETKNİLK TAKİBİ</t>
  </si>
  <si>
    <t>TAKT ZAMANI</t>
  </si>
  <si>
    <t>HAT HÜCRE TASARIMI</t>
  </si>
  <si>
    <t>ÜRÜN ESNEKLİĞİ</t>
  </si>
  <si>
    <t>ANORMAL DURUM</t>
  </si>
  <si>
    <t>İŞ YÜKÜ DENGELEME</t>
  </si>
  <si>
    <t>İŞ BİRLEŞTİRME</t>
  </si>
  <si>
    <t>SAATLİK TAKİP</t>
  </si>
  <si>
    <t>KÜÇÜK LOT</t>
  </si>
  <si>
    <t>ÇEKME YAPISI</t>
  </si>
  <si>
    <t>ÜRETİM KANBAN</t>
  </si>
  <si>
    <t>SEVİYELNDİRME</t>
  </si>
  <si>
    <t>SAHA ORGANİZASYONU</t>
  </si>
  <si>
    <t>HAT ALAN YÖNETİMİ</t>
  </si>
  <si>
    <t>SABAH TOPLANTILARI</t>
  </si>
  <si>
    <t>ÜRETİM ŞARTLARI</t>
  </si>
  <si>
    <t>KÖK NEDEN ANALİZLERİ</t>
  </si>
  <si>
    <t>İSRAF YÖNETİMİ</t>
  </si>
  <si>
    <t>HATA TİPİ İYİLEŞTİRME</t>
  </si>
  <si>
    <t>YETKİNLİK</t>
  </si>
  <si>
    <t>YERİNDE KALİTE</t>
  </si>
  <si>
    <t>İÇ MÜŞTERİ</t>
  </si>
  <si>
    <t>POKA YOKE</t>
  </si>
  <si>
    <t>LİDERİN SORUMLULUĞU</t>
  </si>
  <si>
    <t>JKK</t>
  </si>
  <si>
    <t>5K KALİTE YAPISI</t>
  </si>
  <si>
    <t>TEDARİKÇİ KALİTE</t>
  </si>
  <si>
    <t>ANA HEDEFLER</t>
  </si>
  <si>
    <t>SEVKİYAT PERFORMANSI</t>
  </si>
  <si>
    <t>LEADTIME AZALTMA</t>
  </si>
  <si>
    <t>PLANLAMA YAPISI</t>
  </si>
  <si>
    <t>PLANLAMA PERFORMANSI</t>
  </si>
  <si>
    <t>SEVİYELENDİRME</t>
  </si>
  <si>
    <t>3M</t>
  </si>
  <si>
    <t>SEVKİYAT TAKİP</t>
  </si>
  <si>
    <t>ALAN YÖNETİMİ</t>
  </si>
  <si>
    <t>MALZEME BESLEME</t>
  </si>
  <si>
    <t>HAT İÇİ BESLEME</t>
  </si>
  <si>
    <t>SUPERMARKET MODELİ</t>
  </si>
  <si>
    <t>TAŞIMA KANBANI</t>
  </si>
  <si>
    <t>İÇ LOJİSTİK</t>
  </si>
  <si>
    <t>FIFO</t>
  </si>
  <si>
    <t>DEPO YÖNETİMİ</t>
  </si>
  <si>
    <t>BAKIM HEDEFLERİ</t>
  </si>
  <si>
    <t>BAKIM PLANLARI</t>
  </si>
  <si>
    <t>BAKIM BÜTÇESİ</t>
  </si>
  <si>
    <t>KRİTİK YEDEK PARÇA</t>
  </si>
  <si>
    <t>ENERJİ</t>
  </si>
  <si>
    <t>SAHA DÜZENİ</t>
  </si>
  <si>
    <t>FMEA</t>
  </si>
  <si>
    <t>KULLANICI BAKIMI</t>
  </si>
  <si>
    <t>EĞİTİM</t>
  </si>
  <si>
    <t>STANDARTLAR</t>
  </si>
  <si>
    <t>GÖRSEL KONTROL TEKNİKLERİ</t>
  </si>
  <si>
    <t>GELİŞİM</t>
  </si>
  <si>
    <t>SAHA KONTROLLERİ</t>
  </si>
  <si>
    <t>ÖN KOŞULLARIN TÖNETİMİ</t>
  </si>
  <si>
    <t>KONTROL</t>
  </si>
  <si>
    <t>Firma Adı</t>
  </si>
  <si>
    <t>Rapor Tarihi</t>
  </si>
  <si>
    <t>Rapor No</t>
  </si>
  <si>
    <t>Denetleme Tarihi</t>
  </si>
  <si>
    <t>Firma Katılımcıları</t>
  </si>
  <si>
    <t>Denetleyiciler</t>
  </si>
  <si>
    <t>DeğerlendirmeSonuc1</t>
  </si>
  <si>
    <t>DeğerlendirmeSonuc2</t>
  </si>
  <si>
    <t>DeğerlendirmeSonuc3</t>
  </si>
  <si>
    <t>SÜREÇ DEĞERLENDİRME RAPORU</t>
  </si>
  <si>
    <t>RAPOR TARİHİ:</t>
  </si>
  <si>
    <t>RAPOR NO:</t>
  </si>
  <si>
    <t>KONSEPT</t>
  </si>
  <si>
    <t>GEMPA PARTNER MÜHENDİSLİK VE YAZILIM A.Ş.</t>
  </si>
  <si>
    <t>1 - DEĞERLENDİRME METODU</t>
  </si>
  <si>
    <t>2 - SONUÇ ÖZET TABLO</t>
  </si>
  <si>
    <t>3 - FIRSATLAR</t>
  </si>
  <si>
    <t>5 - SONUÇ</t>
  </si>
  <si>
    <t>4 - DEĞERLENDİRME İÇERİĞİ</t>
  </si>
  <si>
    <t>DEĞERLENDİRME METODU</t>
  </si>
  <si>
    <t>HEDEF PUAN BELİRLEME</t>
  </si>
  <si>
    <t>SEVİYE</t>
  </si>
  <si>
    <t>KRİTER</t>
  </si>
  <si>
    <t>SÜREKLİ GELİŞİM ÇALIŞMALARI BAŞLAMIŞ, KAİZEN KÜLTÜRÜ SAHAYA YANSITILMIŞ, VİZYON NET VE İZLENEBİLİR DÜZEYDEDİR.</t>
  </si>
  <si>
    <t>SÜREKLİ GELİŞİM HENÜZ BAŞLAMAMIŞ, HEDEFLER VE SONUÇLAR İZLENEBİLİR DEĞİLDİR.</t>
  </si>
  <si>
    <t>Hedef Puan</t>
  </si>
  <si>
    <t>DEĞERLENDİRME KRİTERLERİ</t>
  </si>
  <si>
    <t>DEĞERLENDİRME KONULARI</t>
  </si>
  <si>
    <t>PUANLAMA TANIMI</t>
  </si>
  <si>
    <t>ÇALIŞMA YOK</t>
  </si>
  <si>
    <t>ÇALIŞMA VAR AMA ETKİN KULLANILMIYOR</t>
  </si>
  <si>
    <t>ÇALIŞMA VAR AMA STANDARTLAŞTIRILMAMIŞ</t>
  </si>
  <si>
    <t>BAŞARILI - İYİLEŞTİRİLMEYE AÇIK</t>
  </si>
  <si>
    <t>BAŞARILI - BEST PRACTICE</t>
  </si>
  <si>
    <t>ÇALIŞMA HENÜZ BAŞLAMAMIŞ</t>
  </si>
  <si>
    <t>DEĞERLENDİRME SEVİYELERİ</t>
  </si>
  <si>
    <t>▪ İsraf yoğun süreç akışı, isrflar tespit edilemez. Sürekli iyileştirme bilinci yeterli seviyede değildir.</t>
  </si>
  <si>
    <t>▪ İsrafla mücadele için gerekli altyapı oluşturulmuş, farkındalık başlamıştır.</t>
  </si>
  <si>
    <t>▪ Dönüşüm başlamış, kültür değişikliği görünür düzeydedir. Gelişim sağlanmaktaır.</t>
  </si>
  <si>
    <t>▪Gelişim organiizasyonun her kademesinde sürdürülebilir düzeydedir.</t>
  </si>
  <si>
    <t>▪ Olgunluk sağlanmış, sürekli gelişim görsel olarak fark edilmektedir. İsraflar kaynağında bertaraf edilmektedir.</t>
  </si>
  <si>
    <t>DEĞERLENDİRME ÖZET TABLO</t>
  </si>
  <si>
    <t>FİRMA İSMİ:</t>
  </si>
  <si>
    <t>DENETİM TARİHİ:</t>
  </si>
  <si>
    <t>FİRMA KATILIMCILARI:</t>
  </si>
  <si>
    <t>GEMBA PARTNER:</t>
  </si>
  <si>
    <t>SKOR:</t>
  </si>
  <si>
    <t>HEDEF</t>
  </si>
  <si>
    <t>DENETLEME NO</t>
  </si>
  <si>
    <t>DENETLEME SONUÇ</t>
  </si>
  <si>
    <t>DENETLEME SEVİYE</t>
  </si>
  <si>
    <t>SAHA İNCELEME RAPORU</t>
  </si>
  <si>
    <t>DEĞERLENDİRME ÖZETİ</t>
  </si>
  <si>
    <t>KONU YORUM</t>
  </si>
  <si>
    <t>BEST PRACTICE UYGULAMALAR</t>
  </si>
  <si>
    <t>BEST KONU ID</t>
  </si>
  <si>
    <t>A5</t>
  </si>
  <si>
    <t>A6</t>
  </si>
  <si>
    <t>A7</t>
  </si>
  <si>
    <t>A8</t>
  </si>
  <si>
    <t>A9</t>
  </si>
  <si>
    <t>A10</t>
  </si>
  <si>
    <t>B4</t>
  </si>
  <si>
    <t>B5</t>
  </si>
  <si>
    <t>B6</t>
  </si>
  <si>
    <t>B7</t>
  </si>
  <si>
    <t>B8</t>
  </si>
  <si>
    <t>C5</t>
  </si>
  <si>
    <t>C6</t>
  </si>
  <si>
    <t>C7</t>
  </si>
  <si>
    <t>C8</t>
  </si>
  <si>
    <t>D7</t>
  </si>
  <si>
    <t>D8</t>
  </si>
  <si>
    <t>D9</t>
  </si>
  <si>
    <t>D10</t>
  </si>
  <si>
    <t>D11</t>
  </si>
  <si>
    <t>D12</t>
  </si>
  <si>
    <t>E4</t>
  </si>
  <si>
    <t>E5</t>
  </si>
  <si>
    <t>E6</t>
  </si>
  <si>
    <t>E7</t>
  </si>
  <si>
    <t>E8</t>
  </si>
  <si>
    <t>F3</t>
  </si>
  <si>
    <t>F4</t>
  </si>
  <si>
    <t>F5</t>
  </si>
  <si>
    <t>F6</t>
  </si>
  <si>
    <t>F7</t>
  </si>
  <si>
    <t>F8</t>
  </si>
  <si>
    <t>G8</t>
  </si>
  <si>
    <t>J6</t>
  </si>
  <si>
    <t>J7</t>
  </si>
  <si>
    <t>J8</t>
  </si>
  <si>
    <t>K7</t>
  </si>
  <si>
    <t>K8</t>
  </si>
  <si>
    <t>L9</t>
  </si>
  <si>
    <t>M7</t>
  </si>
  <si>
    <t>M8</t>
  </si>
  <si>
    <t>M9</t>
  </si>
  <si>
    <t>M10</t>
  </si>
  <si>
    <t>M11</t>
  </si>
  <si>
    <t>N7</t>
  </si>
  <si>
    <t>N8</t>
  </si>
  <si>
    <t>N9</t>
  </si>
  <si>
    <t>O6</t>
  </si>
  <si>
    <t>O7</t>
  </si>
  <si>
    <t>O8</t>
  </si>
  <si>
    <t>P10</t>
  </si>
  <si>
    <t>R7</t>
  </si>
  <si>
    <t>A5.1</t>
  </si>
  <si>
    <t>A6.1</t>
  </si>
  <si>
    <t>A7.1</t>
  </si>
  <si>
    <t>A8.1</t>
  </si>
  <si>
    <t>A9.1</t>
  </si>
  <si>
    <t>A10.1</t>
  </si>
  <si>
    <t>B4.1</t>
  </si>
  <si>
    <t>B5.1</t>
  </si>
  <si>
    <t>B6.1</t>
  </si>
  <si>
    <t>B7.1</t>
  </si>
  <si>
    <t>B8.1</t>
  </si>
  <si>
    <t>C5.1</t>
  </si>
  <si>
    <t>C6.1</t>
  </si>
  <si>
    <t>C7.1</t>
  </si>
  <si>
    <t>C8.1</t>
  </si>
  <si>
    <t>D7.1</t>
  </si>
  <si>
    <t>D8.1</t>
  </si>
  <si>
    <t>D9.1</t>
  </si>
  <si>
    <t>D10.1</t>
  </si>
  <si>
    <t>D11.1</t>
  </si>
  <si>
    <t>D12.1</t>
  </si>
  <si>
    <t>E4.1</t>
  </si>
  <si>
    <t>E4.2</t>
  </si>
  <si>
    <t>E5.1</t>
  </si>
  <si>
    <t>E6.1</t>
  </si>
  <si>
    <t>E7.1</t>
  </si>
  <si>
    <t>E8.1</t>
  </si>
  <si>
    <t>F3.1</t>
  </si>
  <si>
    <t>F4.1</t>
  </si>
  <si>
    <t>F5.1</t>
  </si>
  <si>
    <t>F6.1</t>
  </si>
  <si>
    <t>F7.1</t>
  </si>
  <si>
    <t>F8.1</t>
  </si>
  <si>
    <t>G8.1</t>
  </si>
  <si>
    <t>H4.2</t>
  </si>
  <si>
    <t>H10.2</t>
  </si>
  <si>
    <t>J6.1</t>
  </si>
  <si>
    <t>J7.1</t>
  </si>
  <si>
    <t>J8.1</t>
  </si>
  <si>
    <t>K7.1</t>
  </si>
  <si>
    <t>K8.1</t>
  </si>
  <si>
    <t>K8.2</t>
  </si>
  <si>
    <t>L9.1</t>
  </si>
  <si>
    <t>M7.1</t>
  </si>
  <si>
    <t>M8.1</t>
  </si>
  <si>
    <t>M9.1</t>
  </si>
  <si>
    <t>M10.1</t>
  </si>
  <si>
    <t>M11.1</t>
  </si>
  <si>
    <t>N7.1</t>
  </si>
  <si>
    <t>N8.1</t>
  </si>
  <si>
    <t>N9.1</t>
  </si>
  <si>
    <t>O6.1</t>
  </si>
  <si>
    <t>O7.1</t>
  </si>
  <si>
    <t>O8.1</t>
  </si>
  <si>
    <t>P10.1</t>
  </si>
  <si>
    <t>R7.1</t>
  </si>
  <si>
    <t>H11.1</t>
  </si>
  <si>
    <t>I7.1</t>
  </si>
  <si>
    <t>J5.1</t>
  </si>
  <si>
    <t>E1</t>
  </si>
  <si>
    <t>E2</t>
  </si>
  <si>
    <t>H11</t>
  </si>
  <si>
    <t>I7</t>
  </si>
  <si>
    <t>J5</t>
  </si>
  <si>
    <t>L8</t>
  </si>
  <si>
    <t>P2</t>
  </si>
  <si>
    <t>R6</t>
  </si>
  <si>
    <t>S3</t>
  </si>
  <si>
    <t>S6</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</si>
  <si>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</si>
  <si>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</si>
  <si>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</si>
  <si>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</si>
  <si>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</si>
  <si>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</si>
  <si>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</si>
  <si>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</si>
  <si>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</si>
  <si>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</si>
  <si>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</si>
  <si>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</si>
  <si>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</si>
  <si>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</si>
  <si>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</si>
  <si>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</si>
  <si>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</si>
  <si>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</si>
  <si>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</si>
  <si>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</si>
  <si>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</si>
  <si>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</si>
  <si>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</si>
  <si>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</si>
  <si>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</si>
  <si>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</si>
  <si>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</si>
  <si>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</si>
  <si>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</si>
  <si>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</si>
  <si>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</si>
  <si>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</si>
  <si>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</si>
  <si>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</si>
  <si>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</si>
  <si>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</si>
  <si>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</si>
  <si>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</si>
  <si>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</si>
  <si>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</si>
  <si>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</si>
  <si>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</si>
  <si>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</si>
  <si>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</si>
  <si>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</si>
  <si>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</si>
  <si>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</si>
  <si>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</si>
  <si>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</si>
  <si>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</si>
  <si>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</si>
  <si>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</si>
  <si>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</si>
  <si>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</si>
  <si>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</si>
  <si>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</si>
  <si>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</si>
  <si>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</si>
  <si>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</si>
  <si>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</si>
  <si>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</si>
  <si>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</si>
  <si>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</si>
  <si>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</si>
  <si>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</si>
  <si>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</si>
  <si>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</si>
  <si>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</si>
  <si>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</si>
  <si>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</si>
  <si>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</si>
  <si>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</si>
  <si>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</si>
  <si>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</si>
  <si>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</si>
  <si>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</si>
  <si>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</si>
  <si>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</si>
  <si>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</si>
  <si>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</si>
  <si>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</si>
  <si>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</si>
  <si>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</si>
  <si>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</si>
  <si>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</si>
  <si>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</si>
  <si>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</si>
  <si>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</si>
  <si>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</si>
  <si>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</si>
  <si>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</si>
  <si>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</si>
  <si>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</si>
  <si>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</si>
  <si>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</si>
  <si>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</si>
  <si>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</si>
  <si>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</si>
  <si>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</si>
  <si>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</si>
  <si>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</si>
  <si>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</si>
  <si>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</si>
  <si>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</si>
  <si>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</si>
  <si>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</si>
  <si>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</si>
  <si>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</si>
  <si>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</si>
  <si>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</si>
  <si>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</si>
  <si>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</si>
  <si>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</si>
  <si>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</si>
  <si>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</si>
  <si>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</si>
  <si>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</si>
  <si>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</si>
  <si>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</si>
  <si>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</si>
  <si>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</si>
  <si>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</si>
  <si>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</si>
  <si>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</si>
  <si>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YÖNETİM İSRAFLA MÜCADELE VE SÜREÇLERİN İYİLEŞTİRİLMESİ KONUSUNDA FARKINDALIK ÇALIŞMALARINI BAŞLATMIŞ, BUNUN İÇİN KAYNAK VE ZAMAN AYIRIYOR</t>
  </si>
  <si>
    <t>İYİLEŞTİRME SÜREÇLERİNE DİKKAT ÇEKMEK İÇİN KAMPANYALAR, SLOGANLAR, BİLGİLENDİRME AFİŞLER GİBİ ARAÇLARLA ÇALIŞANLARDAN FARKINDALIK YARATIYOR.</t>
  </si>
  <si>
    <t>SAHANIN VE İŞLETMENİN ORGANİZASYON YAPISI SÜREKLİ GELİŞİM FAALİYETLERİNİ DESTEKLENMESİNE HİZMET ETMEKTEDİR.  SÜREKLİ GELİŞİM İÇİN  ROLLER VE GÖREVLER BELİRLENMİŞ EN AZ BİR KİŞİ / DEPARTMAN TARAFINDAN TAKİBİ YAPTIRILMAKTADIR.</t>
  </si>
  <si>
    <t>YAPILAN İYİLEŞTİRİCİ FAALİYETLER PERİODİK OLARAK SORUMLULAR TARAFINDAN YÖNETİME RAPORLANIR. YAPILAN ÇALIŞMALAR ÜST YÖNETİM EKİBİ TARAFINDAN TAKİP EDİLEREK SÜREÇLERİN GELİŞİMİ İZLENİR.</t>
  </si>
  <si>
    <t>İŞLETME VİZYONU BELİRLİ, GÖRSEL OLARAK İZLENEBİLİYOR VE HERKES TARAFINDAN BİLİNİYOR DESTEKLİYOR. VİZYONU GERÇEKLEŞTİRMEDE KATILIMCI YÖNETİMİN ALT YAPISI MEVCUTTUR.</t>
  </si>
  <si>
    <t>ÜST YÖNETİM UZUN VADELİ HEDEFLERE ULAŞMAK İÇİN ORTA VADELİ HEDEF VE STRATEJİLERİ BELİRLEMİŞ, BU STRATEJİLERİ DEPARTMAN YÖNETİCİLERİ İLE PAYLAŞARAK YILLIK PROGRAMLARA DÖKMÜŞTÜR.</t>
  </si>
  <si>
    <t>ANA HEDEFLERİ DESTEKLEYEN ALT HEDEFLER, DEPARTMAN YÖNETİCİLERİ TARAFINDAN BELİRLENMİŞ, DEPARTMAN İÇİNDEKİ TÜM SEVİYERELERE HEDEFLERİN YAYILIMI SAĞLANMIŞTIR.</t>
  </si>
  <si>
    <t>GERÇEKLEŞMEYEN HEDEFLERE KARŞI ANALİZLER YAPILIR, UYGUNSUZLUKLARIN KÖK NEDENLERİ TESPİT EDİLEREK YENİ YÖNTEM VE KNOW HOW ELDE EDİLMESİ SAĞLANIR.</t>
  </si>
  <si>
    <t>DİREK OPERASYON VE ÜRETİM FAALİYETLERİNDE MALİYET İLE İLİŞKİLİ HEDEFLER TAKİP EDİLMEKTEDİR. MALİYET UNUSURLARI OLUŞTURULAN FAKTÖRLERE SORUMLULAR ATANARAK MAALİYET AZALTICI ALT FAALİYETLER SÜREKLİ YÜRTÜLMEKTEDİR.</t>
  </si>
  <si>
    <t>OEE - 6 BÜYÜK KAYIP KONULARI MAALİYETLER İLE İLİŞKİLENDİRİLMİŞ VE SAHA YÖNETİMİ AÇISINDAN ÖNEMLİ BİR PARAMETRE OLARAK İZLENEBİLMEKTE VE İYİLEŞTİRME PROGRAMLARINA DAHİL EDİLMİŞTİR.</t>
  </si>
  <si>
    <t>ENDİREK OPERASYONLARDA ( SARF MALZEME - HAMMADDE, ENERJİ YÖNETİMİ VB GİBİ ) KONULARDA MAALİYET AZALTMA CALIŞMALARI SİSTEMATİK BİR ŞEKİLDE YAPILMAKTA VE SONUÇLAR TAKİP EDİLMEKTEDİR.</t>
  </si>
  <si>
    <t>OPERASYONEL FAALİYETLERİN TÜMÜ İÇİN DEĞER YÖNETİMİ, ANALİZLER YAPILMIŞTIR. DEĞER YÖNETİMİ VE MAJOR PROBLEMLER İÇİN FARKINDALİIK BAŞLATILMIŞTIR.</t>
  </si>
  <si>
    <t>VSM, PROSES KAPASİTE ANALİZLERİ, MIFA GİBİ SÜREÇ TANIMLAMA ANALİZ METOTLARI İLE DAR BOĞAZ HAT / İSTASYON VE PROSESLER TANIMLANMIŞTIR.</t>
  </si>
  <si>
    <t>TANIMLANAN DAR BOĞAZ NOKTALARINA İSTİNADEN İYİLEŞTİRME AKSİYONLARI BELİRLENMİŞTİR.  AKSİYONLAR İZLENMEKTEDİR.</t>
  </si>
  <si>
    <t>MAJOR PROBLEM KONULARINI  İYİLEŞTİRME EKİPLERİ TEMEL  SEVİYEDEKİ FARKINDALIK BİLGİLERİNE SAHİPTİRLER, DAR BOĞAZ ANALİZLERİ VE İYİLEŞTİRME KONUSUNDA EĞİTİMLİ VE YETKİNDİRLER.</t>
  </si>
  <si>
    <t>SÜREÇLERİN İYİLEŞTİRİLMESİ, YETKİNLİK GELİŞİMİ İÇİN ANA MİSYONLARDA (HR )EĞİTİM HEDEFLERİ BELİRLİDİR. GÖRSEL OLARAK İZLENMELİDİR</t>
  </si>
  <si>
    <t>IK MEVCUT DURUM EĞİTİM DURUMU İLE  VE GELECEK DURUM İHTİYAÇ PLANLAMASINI YAPARAK GELİŞİM İÇİN EĞİTİM TAKVİMİ OLUŞTURUR VE GÜNCEL TUTAR. GELİŞİMİ AKTİF TUTARAK FARKINDALIĞI SÜREKLİ KILAR.</t>
  </si>
  <si>
    <t>HATLARDA OPERATÖRLERİN YETKİNLİK SEVİYELERİ, YETKİNLİK MATRİSLERİ / POLİVALANSLARLA İLE İZLENMEKTEDİR. POLİVALANSLAR MEVCUT YETKİNLİK SEVİYELERİ İLE BİRLİKTE YETKİNLİK ARTTIRIMA PLANLARINI DA GÖSTERMEKTEDİR.</t>
  </si>
  <si>
    <t>MAKİNA OPERATÖLERİ BİRDEN ÇOK PROSESTE BECERİ GÖSTEREBİLECEK ŞEKİLDE EĞİTİLMEKTEDİR.  BECERİ  MATRİSİLERİ - ÇOKLU BECERİYİ YÖNETEBİLECEK ŞEKİLDE KURGULANMIŞTIR. MATRİSLER GÜNCEL OLARAK HATLARDA SERGİLENMEKTEDİR. EĞİTİMLER UYGULANMAKTADIR.</t>
  </si>
  <si>
    <t>MATRİSLEME YÖNTEMİ 5 AŞAMALI - ANA HEDEFİ ALANINDA UZAMAN, BAŞKA OPERATÖRLERİ DE EĞİTEBİLİR SEVİYESİNDE OLUŞTURULMUŞTUR.  GÖRSEL OLARAK TAKİP EDİLEBİLECEK ŞEKİLDEDİR.  ŞİRKET ANA HEDEFLERİNİ GERÇEKLEŞTİRECEK ŞEKİLDE, NİTELİKLİ İNSAN KAYNAĞI YETİŞTİRMEYİ SAĞLAYACAK NİTELİKTEDİR.</t>
  </si>
  <si>
    <t>SAHA LİDERLERİ VE LİDER ADAYLARI İÇİN LİDER GELİŞİMİ IK 'NIN ANA POLİTİKALARI ARASINDADIR. LİDERLİK BECERİLERİ GELİŞİTİRME, SAHA YÖNETİM YETENEKLERİ ARTTIRMA ÜZERİNE PROGRAMLAR UYGULANMAKTA VE PLANLAMAKTADIR.</t>
  </si>
  <si>
    <t>OPERASYONEL BİLİNCİN ARTTIRILMASI VE SAHA STANDARLARININ KORUNMASI İÇİN TND - TEK NOKTA DERSLERİ UYGULANMAKTADIR. TEK NOKTA DERSLERİ KONU - ADAM / SAAT HEDEFLERİ İLE TAKİP EDİLEREK KAYIT ALTINA ALINMAKTADIR.</t>
  </si>
  <si>
    <t>KALİTE - EKİPMAN KULLANIMI, BAKIM, VB GİBİ OPERASYONEL KONULARDA SAHA GELİŞİMİNİ SAĞLAMAK İÇİN  UYGULAMALI EĞİTMLER ORGANİZE EDİLİR, LİDERLERİN ÖNDERLİĞİNDE BECERİ GELİŞİMİ SAĞLANIR.</t>
  </si>
  <si>
    <t>SAHA ÇALIŞMA VE ISG KURALLARI HERKES TARAFINDAN ANLAŞILIR VE NETTİR. GÖRSEL UYARILAR, TEHLİKELİ ALANLAR, GÜVENLİ YÜRÜME YOLLARI, DİKKAT GEREKTİREN BÖLGELER  SAHADA FAALİYET KURALLARI GÖRSEL HALE GETİRMİŞTİR.</t>
  </si>
  <si>
    <t>ISG FAALİYETLERİ PLANLI BİR TAKVİM DOĞRULTUSUNDA YÖNETİLMEKTEDİR. HER AYIN KONUSU ISG YÖNETİM PANOLARINDA GÖSTERİLMEKTEDİR. BELİRLİ DÖNEMLER - AYLAR ISG AYI İLAN EDİLEREK FAALİYETLER ÜZERİNDEKİ DİKKAT ARTTIRILMAKTADIR.</t>
  </si>
  <si>
    <t>GÜVENLİK VE ERGONOMİ (S)  İLE İLGİLİ ANA HEDEFLER BELİRLENMİŞ, SAHADA NEREDEYSE KAZA-RAMAK KALA GİBİ RİSKLİ ÇALIŞMALARI TAKİP EDEN ALT HEDEFLER DE MEVCUTTUR</t>
  </si>
  <si>
    <t>ISG, ERGONOMİ VE ÇEVRE İLE İLGİLİ KAİZEN HEDEFLERİ BELİRLENMİŞTİR VE GÖRSEL OLARAK TAKİP EDİLMEKTEDİR. ANA İYİLEŞTİRME KONULARI ARASINDA YER ALMAKTADIR.</t>
  </si>
  <si>
    <t>HER PROSES VE HAT YAPISINA UYGUN KORUYUCU GÜVENLİK EKİPMANLARI BELİRLENMİŞ, GEREKLİ TALİMATLARLA BU EKİPMANLARIN DOĞRU KULLANIMI VE UYARILARI MEVCUTTUR.  OPERATÖRLER - SAHA LİDERLERİ TARAFINDAN BU EKİPMANLAR KULLANILMAKTADIR.</t>
  </si>
  <si>
    <t>TÜM FABRRİKADA GEREKLİ RİSK ANALİZ ÇALIŞMALARI YAPILMIŞ, RİSKLİ BÖLGELER TANIMLANMIŞ VE EKİPLERLE BİRLİKTE RİSK AZALTMA FAALİYETLERİ  BAŞLATILMIŞTIR. EKİPMANLAR ÜZERİNDEKİ RİSKLİ ALANLAR TANIMLANARAK GÜVENLİ ÇALIŞMA ORTAMI OLUŞTURULMAKTADIR.</t>
  </si>
  <si>
    <t>YÖNETİMİNDE DAHİL OLDUĞU GÜVENLİK DEVRİYELERİ YAPILMAKTA VE ERGONOMİ, PROSES AÇISINDAN TEHLİKELİ BÖLGELERE ACİL ÖNLEMLER ALINARAK TEHLİKEYE KARŞI PROAKTİF BİR YAKLAŞIM SERGİLENMEKTEDİR.</t>
  </si>
  <si>
    <t>SAHA LİDERLERİNİN GÜVENLİ SAHA OLUŞTURMA ROLÜ BELİRLEMİŞ, CHECK LİSTLERLE ( 5S CHECK LİSTLERİ )KONSEPT DAHİLİNDE) OTONOM KONTROLLER SAĞLANARAK EKİP İÇİ ÖNCE GÜVENLİK FAALİYETLERİ SAĞLANMAKTADIR.</t>
  </si>
  <si>
    <t>ZOR PROSES / ÇALIŞMA ERGONOMİSİNİ ETKİLEYEN, PROSES SÜRESİNİ NEGATİF ETKİ EDEN ÇALIŞMALAR İÇİN OPERATÖRLERDEN LİDERLERE GERİ BESLEME SİSTEMİ VARDIR. BU PROSESLER DİKKATE ALINARAK İYİLEŞTİRME ÇALIŞMLARI YAPILARAK PROSES KOŞULLARI DAHA RAHAT ÇALIŞMA FORMUNA GETİRİLMEKTEDİR.</t>
  </si>
  <si>
    <t>ISG SORUMLULUĞU SADECE ISG BİRİMİNDE DEĞİL TÜM SAHA ÇALIŞANLARINDADIR. SAHA GENELİNDE KARŞILAŞILAN EN FAZLA RİSK GRUBU / STOP 6 GİBİ FAALİYETLERLE ISG ÇALIŞMALARI HERKESİN KATILIIM İLE  GÜÇLENDİRİLMEKTEDİR.</t>
  </si>
  <si>
    <t>5S ÇALIŞMALARINI ETKİN BİR ŞEKİLDE YÖNETMEK İÇİN BİR ORGANİZASYON KURULMUŞ, ROLLER GÖREVLER DAĞITILMIŞ, ALANLARA SORUMLULAR TAYİN EDİLEREK FAALİYET YÖNETİMİ SİSTEMATİK OLARAK YAPILMAKTADIR.</t>
  </si>
  <si>
    <t>5S SİSTEM ETKİNLİĞİNİ ÖLÇMEK VE TAKİP ETMEK ADINA RAPORLAMA VE PUANLAMA METODOLOJİSİ KURULMUŞ, PERİODİK DENETİMLERLE ORTAYA ÇIKAN MEVCUT DURUM GRAFİKSEL OLARAK ANATILMAKTA VE HEDEF PUANLARLA GELİŞİMİ TAKİP EDİLMEKTEDİR.</t>
  </si>
  <si>
    <t>PLANLI BİR TAKVİM DOĞRULTUSUNDA 5S FAALİYETLERİ ORGANİZASYON VE ALAN SORUMLULARI TARAFINDAN ÇAPRAZ DENETİM METODU İLE  İNCELENMETEKDİR. SİSTEMİN ETKİNLİĞİ VE GELİŞİMİ YÖNETİME RAPORLANMAKTADIR.</t>
  </si>
  <si>
    <t>SAHA GENEL DÜZENİ SAĞLANMIŞ, ALAN TANIMLARI, YÜRÜYÜŞ YOLLARI, HAT SINIR ÇİZGİLERİ VB GİBİ TEMEL LAYOUT GEREKSİNİMLERİ 5S ŞARTLARINA GÖRE OLUŞTURULMUŞTUR.</t>
  </si>
  <si>
    <t>SAHA YÖNETİMİ KONULARINDA LİDERİN TEMEL GÖREVLERİ ARASINDA 5S FAALİYETLERİNİN GÜNLÜK KONTROLÜ VE SİSTEMİN SÜRDÜRÜLEBİLİRLİĞİ İÇİN CHECK LİSTLERLE KONTROLÜ VE AKSİYON ALMASI GİBİ KONULAR EKLENMİŞTİR.</t>
  </si>
  <si>
    <t>HÜCRELER VE HATLAR 5S ŞARTLARINA GÖRE KURULMUŞTUR. HAT TANIMLARI, ÜRETİLEN ÜRÜN, MALZEME TANIMI, GÖRSEL TALİMATLAR, STOK SEVİYELERİ MİN-MAX, EL ALETİ DÜZENLERİ VB GİBİ GEREKLİ GÖRSELLEŞTİRME ARAÇLARI HATTIN 5S YAPISINI KORUMAKTADIR.</t>
  </si>
  <si>
    <t>5S YAPISI ISG FAALİYETLRİ İLE BÜTÜNLEŞMİŞTİR. DÜZENLİ SAHA GÜVENLİ SAHA YAPISI KURULMUŞTUR. 5S ŞARTLARINA GÖRE RİSKLİ BÖLGE TANIMLAMA KODLARI, DİKKAT EDİLMESİ GEREKEN PROSES / ALAN GİBİ KONULAR 5S İLE GÖRSELLEŞTİRİLMEKTEDİR. 5S DENETİM ÇIKTILARI ISG SİTEMİNİ DE BESLEMEKTEDİR.</t>
  </si>
  <si>
    <t>KALİTE VE VERİMLİLİK AÇISINDAN İNCELEME : ÜRETİM İÇERİSİNDE ÜRÜNE, EL ALETİNE ULAŞMA ARAMA GİBİ MUDA HAREKETLER 5S İLE OPTİMİZE EDİLMİŞTİR. RAF AKIŞ YÖNLERİ, ALMA BIRAKMA, LİMİT KONTROL NOKTALARI 5 İLE GÖRSELLEŞTİRİLMİŞTİR.STANDART İŞ KONULARI DESTEKLER NİTELİKTEDİR.</t>
  </si>
  <si>
    <t>FABRİKA ÜRÜN VE FAALİYET AKIŞI NETTİR. RENK KODLARI, ALAN ÇİZGİLERİ, YÖNLENDİRMELER, TANIMLAMALAR, YÖNETİM KÖŞELERİ İLE FABRİKA FAALİYETLERİ GÖRSELLEŞTİRİLMİŞTİR.</t>
  </si>
  <si>
    <t>FABRİKA STANDARTLARI, KURALLARI GÖRSELLEŞTİRİLMİŞTİR. STOK SEVİYELERİ, SUPER MARKET RAFLARI, FIFO AKIŞLARI PROSES BESLEME, İŞ YÜKLERİ VB GİBİ DİĞER OPERASYONEL FAALİYETLERDEKİ STANDARTLAR ANLAŞILIR SEVİYEDEDİR.</t>
  </si>
  <si>
    <t>ANORMAL DURUM / NORMAL DURUM AYRIMLARI GÖRSEL VE İŞİTSEL YÖNETİM ARAÇLARI SAĞLANMAKTADIR. FABRİKA GENELİNDE ANDON / RENKLİ TANIMLAMALAR İLE ANORMAL DURUM ŞARTLARI HEM SESLİ HEM GÖRSEL OLARAK İFADE EDİLMEKTEDİR.</t>
  </si>
  <si>
    <t>KALİTE UYGULAMALARI İÇİN OK / NOK - RED PARÇA YÖNETİMİ GİBİ KONULAR GÖRSEL KONTROL ARAÇLARI İLE SAĞLANMAKTADIR.  AYNI ŞEKİLDE GÖRSEL KONTROL ARAÇLARI İLE EKİPMAN KONTROLLERİ DE KOLAYLAŞTIRILMAKTADIR.  TALİMATLAR ULAŞILABİLİR GÖRSELDİR.</t>
  </si>
  <si>
    <t>SAHA PERFORMANSININ İZLENDİĞİ, FABRİKA YÖNETİM PANOLARI, PROBLEM TAKİP VE AKSİYON PANOLARI MEVCUTTUR. ANORMAL KOŞULLAR BURADA GÖRSELLEŞTİRİLMEKTEDİR.</t>
  </si>
  <si>
    <t>HAT KENARLARINDA VERİMLİLİK YÖNETİMİ, KALİTE YÖNETİMİ, ISG YÖNETİMİ İÇİN GEREKLİ UNSURLAR, GÖRSEL YÖNETİM ARAÇLARI İLE YÖNETİLMEKTEDİR. OLUŞAN  ANORMAL DURUMLAR TAKİP EDİLMEKTEDİR.</t>
  </si>
  <si>
    <t>HATLARDA HER BİR ÜRÜN GRUBU İÇİN STANDART İŞ KARTLARI HAZIRLANMIŞ, HAT AKIŞ VE LAYOUT YAPISININ STANDARDI BELİRLENMİŞ. PROSES SÜRELERİ ÖLÇÜLMÜŞ VE STANDARD OLARAK KABUL EDİLMİŞTİR. DEĞİŞİKLİKLERDE REVİZE EDİLDİĞİNİ GÖSTREREN REVİZYON NOLARI MEVCUTTUR</t>
  </si>
  <si>
    <t>STANDART İŞ FORMLARI WIP STOK MİKTARINI TANIMLAR VE İYİLEŞTİRMEYE AÇIK NOKTALARI GÖSTERİR.  BU PROBLEMLER İÇİN İYİLEŞTİRME PLANI YAPILMAKTADIR.</t>
  </si>
  <si>
    <t>PROSESLERDE BACK UP KİŞİLER BELİRLENMİŞ, MULTİ SKILL TABLOLARINDA GÖSTERİLMİŞTİR. KİŞİLERİN DEĞİŞMESİ DURUMUNDA PROSESTE VARYASYON GÖRÜLMEZ.</t>
  </si>
  <si>
    <t>BİRİM İŞ FORMLARI PROSES SÜRELERİ, USTALIK VE BECERİ İSTEYEN İŞLERLE, KALİTE NOKTALARINI, GÜVENLİK DİKKAT NOKTALARI İÇERMEKTEDİR.</t>
  </si>
  <si>
    <t>STANDARTLARA UYULMUŞ OLMASINA RAĞMEN ANORMAL DURUM OLUŞMASI GİBİ DURUMLARDA OPERATÖRÜN İZLEMESİ GEREKEN ADIMLAR STANDAR İŞ / ACİL DURUM TALİMATI VB GİBİ DOKUMANLARDA TANIMLI MIDIR?</t>
  </si>
  <si>
    <t>HAT KURULUMLARI S/ W BELİRTİLDİĞİ GİBİ YAPILIR, ÜRÜN AKIŞI, OPERATÖR HAREKETLERİ S/W ÜZERİNDE TANIMLANMIŞTIR. OPERATÖRLER BU STANDARTLARA GÖRE ÜRETİM YAPMAKTADIR. BELİRLENEN ÜRETİM SÜRESİ İLE SAHADAKİ C/T UYUMLUDUR.</t>
  </si>
  <si>
    <t>HAT DENGELEMELERİ YAPILMAKTADIR. HAT AKIŞI / PROSES AKIŞINDA 3M ANALİZLERİ GÖZ ÖNÜNDE BULUNDURULARAK 3M OLUŞMAYACAK ŞEKİLDE AKIŞ STANDART HALE GETİRİLMİŞTİR.</t>
  </si>
  <si>
    <t>İYİLEŞTİRMELERİ TAKİP ETMEK, ORGANİZASYON YAPISINI DİNAMİK TUTMAK İÇİN ÖNERİ-KAİZEN SİSTEMİ KURULMUŞ, AKTİF BİR ŞEKİLDE AYLIK PERİODLARLA ÇALIŞMAKTADIR</t>
  </si>
  <si>
    <t>İYİLEŞTİRME ÖNERİLERİNİN HAYATA GEÇİRİLMESİ İÇİN YÖNETİM KAYNAK AYIRMAKTA VE ÖDÜL SİSTEMİ İLE ÇALIŞMALARA TAM DESTEK VERMEKTEDİR.</t>
  </si>
  <si>
    <t>BU SİSTEME VERİLEN ÖNEM AFİŞLER, BİLGİLENDİRME DUYURULARI VE DÖNEMSEL KAMPANYALARLA CANLI TUTULARAK KATILIM SAĞLANMAKTADIR.</t>
  </si>
  <si>
    <t>KAİZEN KÜLTÜRÜ ÖNEMSENMEKTEDİR. SÜREKLİLİĞİ SAĞLAMAK VE İÇİN  KPI SET EDİLMİŞTİR. DAHA ETKİN BİR KAİZEN SİSTEMİ İÇİN KALİTE-VERİMLİLİK-ISG -VB GİBİ KONU BAŞLIKLARI İLE TAKİP EDİLMEKTEDİR.</t>
  </si>
  <si>
    <t>5 ANA MİSYON - IK BAŞLIĞI ALTINDA KAİZEN İLE KATILIMCI YÖNETİMİ SAĞLAMAK, ÇALIŞAN MOTİVASYONUNU ARTTIRMAK VE DÜŞÜNME GÜCÜNÜ GELİŞTİRMEK İÇİN ÖNERİ- KAİZEN - PROBLEM ÇÖZME AKTİVİTELERİ GİBİ  ALT HEDEFLER BELİRLENMİŞTİR.</t>
  </si>
  <si>
    <t>KAİZEN ETKİNLİĞİNİ VE NİTELİĞİNİ ARTTIRMAK İÇİN HER SENE PERİODİK OLARAK FARKLI KONSEPTLERDE KAİZEN EĞİTİMLERİ VERİLMEKTE, ÖNERİ OLUŞTURMA VE PROBLEM ÇÖZME KONULARI ÜSTÜNDE YETKİNLİK KAZANDIRILMAKTADIR.</t>
  </si>
  <si>
    <t>İYİLEŞTİRME KONULARI OLARAK 7 TEMEL İSRAF ÖNCELİKLİ ELE ALINMAKTA VE SAHADA HER ALANDA ÖNÜNE GEÇİLMEYE ÇALIŞILMAKTADIR.</t>
  </si>
  <si>
    <t>PERİODİK TAKVİMLERLE SAHA ÇALIŞANLARINDAN OLUŞTURULAN TAKIMLARLA (ÇEMBER ) İYİLEŞTİRME FAALİYETLERİ ORGANİZE EDİLMEKTE KATMA DEĞERİ YÜKSEK İYİLEŞTİRME ÇALIŞMALARI GERÇEKLEŞTİRİLMEKTEDİR.</t>
  </si>
  <si>
    <t>KAİZEN SAHA YÖNETİM METODU OLARAK KULLANILMAKTADIR. HAT YÖNETİM PANOLARINDA EN ÇOK KARŞILAŞILAN PROBLEMLER PFUS SAYFALARINA İŞLENEREK PRATİK PROBLEM ÇÖZME ARAÇALARI VEYA FARKLI TEKNİKLERLE ODAK NOKTASI HALİNE GETİRİLİR VE PDCA DÖNGÜSÜNE GÖRE TAKİP EDİLEREK PROBLEMLER ÇÖZÜME KAVUŞTURULUR.</t>
  </si>
  <si>
    <t>YÖNETİM OFİS PERSONELLERİNİN DE KATILIDIĞI,PROBLEM ÇÖZME TAKIMLARI TAYİN EDER A3 - 6 SİGMA / PROBLEM ÇÖZME TEKNİKLERİNDEN YARARLANILARAK MALİYET AZALTMA VEYA KPI İYİLEŞTİRME ODAKLI İYİLEŞTİRME ÇALIŞMALARI ORGANİZE EDEREK YÜKSEK KATMA DEĞERLİ ÇALIŞMALAR YÜRÜTMEKTEDİR.</t>
  </si>
  <si>
    <t>PROBLEM ÇÖZME EĞİTİMLERİ VERİLMİŞ, HAT YÖNETİCİLERİ 5 NEDEN, FTA, BALIK KILÇIĞI GİBİ KÖK NEDEN ANALİZ TEKNİKLERİ PROBLEMLERE KARŞI ETKİN BİR ŞEKİLDE KULLANILMAKTADIR.</t>
  </si>
  <si>
    <t>İYİLEŞTİRME SONUÇLARI DÜZENLİ OLARAK YÖNETİME RAPORLAMAKTADIR.  SONUÇLAR STANDARDİZE EDİLEREK GETİRİ SEVİYESİ KORUNMAKTADIR.MALİ TABLOLARDA İYİLEŞTİRMELERİN KONTOLLERİ GERÇEKLEŞTİRİLEREK KAİZENİN KATMA DEĞERİ KORUNMAKTADIR.</t>
  </si>
  <si>
    <t>MAKİNA KULLANILABİLİRLİK ORANLARI TAKİP EDİLEREK C/O SÜRECİNDE ORTAYA ÇIKAN ZAMAN KAYIP OLARAK KABUL EDİLMEKTEDİR. KONU İLE FARKINDALIK BAŞLAMIŞ SÜRELER GÖRSEL OLARAK  TAKİP EDİLMEKTEDİR.</t>
  </si>
  <si>
    <t>C/O SÜRELERİ İÇİN SMED ANALİZLERİ YAPILMIŞ, ORTAYA ÇIKAN POTANSİYEL KAZANIMLAR HESAPLANARAK SÜRE KISALTMA YOL HARİTASI BELİRLENMİŞTİR.</t>
  </si>
  <si>
    <t>SMED ANALİZLERİ SONRASI HAZIRLIK SÜRELERİ İKİYE AYRILMIŞ VE İÇ VE DIŞ SÜRELER OLARAK ÇALIŞMALAR TAKİP EDİLEREK HER İKİ SÜRENİN DE AZALTILMASI İÇİN FAALİYETLER BAŞLATILMIŞTIR.</t>
  </si>
  <si>
    <t>C/O AZALTMA TAKIMI KURULMUŞ, EKİBE ANALİZ VE UYGULAMA EĞİTİMLERİ VERİLMİŞTİR. EKİPLER ÇALIŞMALARI TAMAMLADIKÇA BİR SONRAKİ İYİLEŞTİRME SEVİYESİNİ PLANLAR VE UYGULAMAYA ALIR.</t>
  </si>
  <si>
    <t>DIŞ SÜRENİN HIZLI BİR ŞEKİLDE TAMAMLANMASI İÇİN 5S METOTLARINDAN YARARLANILMAKTADIR. DEĞİŞİM ARAÇLARI, EL ALETLERİ, ARABALAR HAZIR TANIMLI VE HERKESİN ULAŞABİLECEĞİ ŞEKİLDE MUAHFAZA EDİLMEKTEDİR.</t>
  </si>
  <si>
    <t>DEĞİŞİM SÜRELERİNİ KORUMAK VE VARYASYONLARI ORTADAN KALDIRMAK İÇİN C/O TALİMATI VEYA SET UP STANDART FORMLARI OLUŞTURULMUŞTUR. HER İYİLEŞTİRMEDE REVİZE EDİLMEKTEDİR.</t>
  </si>
  <si>
    <t>TAKT ZAMANI C/T DENGESİNİ KURMAK VE GERÇEK İŞ GÜCÜNÜ ORTAYA ÇIKARMAK İÇİN REFERANS OLARAK ALINIR.</t>
  </si>
  <si>
    <t>HAT - HÜCRE - MAKİNE LAYOUTLARI ADAM AZALTMA VE ADAM EKLEME / 1 OPERATÖRÜN GEREKTİĞİ ZAMAN BİRDEN FAZLA İŞİ YAPABİLMESİNİ SAĞLAYACAK ŞEKİLDE TASARLANMIŞTIR</t>
  </si>
  <si>
    <t>HÜCRE VE HATLAR BİR ÜRÜN GRUBUNA AİT DEĞİLDİR AYNI ZAMANDA HIZLI DEĞİŞİMLERLE FARKLI ÜRÜN GRUPLARINIDA ÜRETEBİLMEKTEDİR.</t>
  </si>
  <si>
    <t>TEK PARÇA AKIŞ PRENSİBİ UYGULANMIŞTIR. AKIŞ GENELLİKLE U YÖNÜNDE AKMAKTADIR. KONVEYÖR ÜRETİMLERİNDE İSE DÜZ AKIŞ SÖZ KONUSU OLSADA AKIŞ PRENSİBİNE UYUM VARDIR.</t>
  </si>
  <si>
    <t>AKIŞ İÇERİSİNDE KONTROLSÜZ WIP BULUNMAMAKTADIR. WIP SEVİYESİ DENGELİ - TANIMLI VE KONTROL ALTINDADIR.</t>
  </si>
  <si>
    <t>AKIŞ İÇERİSİNDE ANORMAL DURUM OLUŞTUĞUNDA ANDON VEYA BENZERİ METOTLARLA AKIŞIN SEKTEYE UĞRADIĞI DURUMLAR GÖRSELLEŞTİRİLİR.</t>
  </si>
  <si>
    <t>ESNEK İŞ GÜCÜ YAPISI İÇİN YAMAZUMİ ANALİZLERİ İLE HATTIN İŞ YÜKÜ ÇIKARTILMIŞ VE DENGELEME İLE İŞ BİRLEŞTİRMELER YAPILMAKTADIR.</t>
  </si>
  <si>
    <t>HAT DENGELEMELERİNDE - İŞ BİRLEŞTİRİLMELERİNDE N/VA - MUDA TİPİ İŞLER İÇİN KAIZEN ÇALIŞMALARI YAPILARAK GEREKSİZ İŞ YÜKLERİ AZALTILMAKTADIR. YAPILAN ÇALIŞMALAR HATTIN İŞ YÜKÜ ANALİZLERİ VEYA S/W FORMLARINDA GÖSTERİLMEKTEDİR.</t>
  </si>
  <si>
    <t>ÜRETİM PERFORMANSI  (D) PARAMETRESİ ALTINDA TAKİP EDİLMEKTE VE PLANSIZ DURUŞLAR / PROSES KALİTE / ÜRETKENLİK VERİMLİLİK GİBİ KONULAR BU PARAMETRE ALTINDA TAKİP EDİLMEKTEDİR.</t>
  </si>
  <si>
    <t>ÜRETİM PERFORMANSI SAATLİK PC BOARD / ANDON BOARD GİBİ ARAÇLARLA TAKİP EDİLEREK PLANLANAN GERÇEKLEŞEN ADETLERİ ANLIK TAKİP EDİLMEKTEDİR. ORTAYA ÇIKAN DALGALANLANMALARIN NEDENLERİ ANALİZ EDİLEREK ÖNLEMLER ALINMAKTADIR.</t>
  </si>
  <si>
    <t>PROSES  KAPASİTE ANALİZLERİ YAPILMAKTA.  DAR BOĞAZ İSTASYONLAR TESPİT EDİLİREREK İYİLEŞTİRME PROGRAMLARI BAŞLATILIR.</t>
  </si>
  <si>
    <t>PROSES İÇİ 5S UYGULAMALARI İLE KOMPONENTLER, SARF MALZEMELER, KALİTE KONTROL ALETLERİ, ÜRETİM EKİPMANLARI, DÜZENLİ BİR ŞEKİLDE ORGANİZE EDİLMEKTEDİR. GEREKSİZ ARAMA VE C/T UZATICI HAREKETLER ELEMİNE EDİLMİŞTİR.</t>
  </si>
  <si>
    <t>PROSES YAPILARI SONRAKİ PROSESİ MÜŞTERİ OLARAK KABUL EDER VE İKİ PROSES ARASI ÜRÜNLER ÇEKİLEREK ÇEKİLEN MİKTAR KADAR BESLEME METODUNA GÖRE  ÜRETİM YAPILIR.</t>
  </si>
  <si>
    <t>ÜRETİMDE İŞ EMRİ KANBAN KARTLARI - VEYA SİNYALİZASYON İLE VERİLMEKTEDİR. HAT İÇLERİNDE KANBAN POSTASI HATTIN İŞ YÜKÜNÜ GÖSTERİR, ÜRETİM PLANLAMA / PC DEPARTMANI KANBAN KARTLARINI BELİRLENEN PERİODLARLA SAHAYA DAĞITIR.</t>
  </si>
  <si>
    <t>ÜRETİM HATLARI TEK TİP FAZLA ÜRETİMİ ENGELLEMEK ADINA ÇOK ÇEŞİTLİ AZ ADET ÜRÜNÜ ÜRETEBİLECEK KABİLİYETTEDİR. BUNUN İÇİN HAT AKIŞI, MALZEME BESLEME, ÇOKLU PROSES BECERİSİ GİBİ ALT YAPILAR KURULMUŞTUR.</t>
  </si>
  <si>
    <t>HATLARDA GÖREVLENDİRME PANOLARI, SHOP ASAKAİ - EKİP TOPLANTI PERFORMANS YÖNETİM PANOLARI MEVCUTTUR. LİDERLER EKİP TOPLANTILARINI VE HAT PERFORMANS YÖNETİMLERİNİ BU ENSTRUMANLARLA GERÇEKLEŞTİRMEKTEDİR.</t>
  </si>
  <si>
    <t>TÜM FABRİKA PERFORMANSININ TAKİP EDİLDİĞİ ASAKAİ ALANI OLUŞTURULMUŞTUR. ASAKAİ TOPLANTILARI HER GÜN YÖNETİMİN KATILIMI İLE GERÇEKLEŞTİRİLMEKTE VE GERÇEK KALİTE PROBLEMLERİ GÜNDEME GETİRİLEREK PERFORMANSLAR AKTARILMAKTADIR.</t>
  </si>
  <si>
    <t>LİDERLERİN GÖREV TANIMLARI VE YÖNETİMDEKİ ROLLERİ, SAHA YÖNETİM KONULARI- KPI'LARI TANIMLANMIŞ, LİDERLİK BECERİ VE YETKİNLİK GELİŞİMLERİ İÇİN EĞİTİMLER ORGANİZE EDİLMİŞTİR.</t>
  </si>
  <si>
    <t>ÜRETİM İÇİN GEREKLİ ŞARTLAR ÜRETİM ÖNCESİ ÖN KOŞULLAR OLARAK BELİRLENMİŞ,KONTROLÜ VE ŞARTLARIN SAĞLANMASI LİDERLERE  ATANMIŞTIR. ÜRETİM SIRASINDA HERHANGİ BİR PROBLEMLE KARŞILAŞILMAMASI İÇİN ANORMAL DURUM YÖNETİM TECRÜBESİ VE BECERİSİNE SAHİPTİR.</t>
  </si>
  <si>
    <t>LİDERLER PROBLEMLERİ TANIMLAR,KÖK NEDEN ANALİZLERİ İLE  AKSİYONLARI BELİRLER, AKSİYON TAKİBİNİ VE KONTROLÜ YAPARAK YÖNETİME FEEDBACK VERİR. BUNUN İÇİN PDCA DÖNGÜSÜNÜ GÖSTEREN 5N1K, PROBLEM TAKİP LİSTELERİ, KESHİGOMU LİSTELERİNİ ETKİN BİR ŞEKİLDE KULLANIR VE GÖSTERİR.</t>
  </si>
  <si>
    <t>LİDERLER EKİPLERİNE KAİZEN UYGULAMA - PROBLEM ÇÖZME KONUSUNDA LİDERLİK YAPABİLECEK YETKİNLİĞİ SAHİPTİRLER. KENDİ EKİPLERİNİ KURARAK PROBLEMLERİ ELEMİNE EDERLER.</t>
  </si>
  <si>
    <t>LİDERLER 7 TEMEL İSRAF, MUDA - NVA İŞ GİBİ KONULARIN ÖNEMİNİN FARKINDADIR. BUNUN İÇİN SAHADA BELİRLENEN STANDARTLARIN UYGULANMASINI DEĞERİN KORUNMASINI SAĞLAYACAK YÖNETİM KONULARINI UYGULAR</t>
  </si>
  <si>
    <t>5 ANA MİSYON KALİTE Q HEDEFLERİ BELİRLENMİŞ. ALT HEDEFLER OLARAK İÇ KALİTE - REWORK VB GİBİ KALİTE SÜRECİNİ TAKİP EDECEK KONULAR BELİRLEMİŞTİR.</t>
  </si>
  <si>
    <t>KALİTE TOP 5 PROBLEM SAHADA TAKİPTEDİR VE İYİLEŞTİRME PROGRAMLARI İLE GÜNLÜK OLARAK VERİLER TAKİP EDİLEREK, İYİLEŞTİRME SONUÇLARI KPI OLARAK İZLENMEKTEDİR.</t>
  </si>
  <si>
    <t>KALİTE YETKİNLİKLERİNİN ARTIRILMASI İÇİN DÖNEMSEL OLARAK KALİTE ÖLÇÜM / TEST / KONTROL VB GİBİ KALİTE ODAKLI EĞİTİMLER VERİLMEKTEDİR</t>
  </si>
  <si>
    <t>ÜRETİM SAHASINDA PROSESLERDE OK PARÇA NOK PARÇA VEYA TALİMATLARLA HATA TİPLERİ VEYA KALİTE HATA MATRİSLERİ VE ÇÖZÜMLERİ  GÖRSEL OLARAK SAHADA OPERATÖRLERE AKTARILMIŞTIR.</t>
  </si>
  <si>
    <t>BİR SONRAKİ PROSES MÜŞTERİDİR. HATALI ÜRÜNÜ SONRAKİ PROSESE AKTARMA HATA AKIŞINI DURDUR, MÜŞTERİ PROSES. HATA KARTI İLE ÜRÜNLERİ REJECT EDEREK PROPBLEMLERİ GÖRÜNÜR KILARLAR.</t>
  </si>
  <si>
    <t>HATA AKIŞINI ENGELLEME ÜZERİNE BASİT POKA-YOKE UYGULAMALARI GELİŞTİRİLMEKTE VE YAYGINLAŞTIRILMALARI YAPILMAKTADIR.</t>
  </si>
  <si>
    <t>HATA PROBLEMLERİNE KARŞI TL ROLÜ TANIMLIDIR VE KÖK NEDENLERİNE KARŞI AKSİYON ALABİLMEKTEDİR. OLUŞAN ANORMAL DURUM TL TARAFINDAN YÖNETİLMEKTEDİR.</t>
  </si>
  <si>
    <t>PROSES -KALİTE SORUMLULUĞU OPERATÖRLERE AKTARILARAK PROSES SAHİPLENDİRMESİ YAPILMIŞTIR. HER OPERATÖR JKK PRENSİPLERİNE DAYANARAK HANGİ KALİTE NOKTASINDAN SORUMLU OLDUĞUNU BİLMEKTEDİR, YAPILAN KONTROLLER VE SONUÇLARI İZLENBİLİRDİR.</t>
  </si>
  <si>
    <t>TAMİR / REWORK ORANLARINI TAKİP EDİLMEKTE VE  İYİLEŞTİRMELERLE TAMİR İÇİN OLUŞAN EK MALİYETLER AZALTILMAKTADIR.</t>
  </si>
  <si>
    <t>TEDARİKÇİ  KAYNAKLI KALİTE HATA ORANLARI VE  PERFORMANSLARI TAKİP EDİLEREK PROBLEMLER TEDARİKÇİLERE AKTARILMAKTADIR.  TEDARİKÇİLER GELİŞTİRME PROGRAMLARI UYGULANMAKTADIR.</t>
  </si>
  <si>
    <t>ZAMANINDA SEVKİYAT YAPILAMAMASI DURUMUNDA OLUŞAN SHORT SHIPMENT KONUSUNA MALİYET UNSURU OLARAK DİKKAT ÇEKİLMEKTEDİR. NAVLUN- GUMRUKLEME GİBİ KONULARDA ORTAYA ÇIKAN EKSTRA MALİYETLER "ZAMAN" HEDEFİNİ OLUMSUZ ETKİLEMEKTEDİR.</t>
  </si>
  <si>
    <t>LEAD TIME TAKİBİ YAPILMAKTADIR.  LEAD TIME AZALTMA POLİTİKASI VARDIR VE İYİLEŞTİRME PROGRAMLARI İLE FAALİYETLERE DÖNÜŞTÜRÜLMEKTEDİR.</t>
  </si>
  <si>
    <t>ÜRETİM PLANI AY/ HAFTA / GÜNLÜK BAZDA YAPILMAKTADIR. ÜRETİME AKTARILMAKTADIR. ÜRETİM DEPARTMANI PLANA UYUM SAĞLAR.</t>
  </si>
  <si>
    <t>ÜRETİM PLANLAMASI DALGALANMALARIN ÖNÜNE GEÇECEK ŞEKİLDE DENGELENMEKTE, HATLARIN ÜRETİM İŞ YÜKLERİ GÖRSELLEŞTİRİLMEKTEDİR.</t>
  </si>
  <si>
    <t>MÜŞTERİ TALEPLERİNDEKİ DENGESİZLİK ÜRETİMDE 3M PROBLEMLERİNE NEDEN OLMAKTADIR. PLANLAMA ÖNGÖRÜ ÇALIŞMASI İLE ÜRETİM ADETLERİNİ DENGELER VE 3M OLUŞMASININ ÖNÜNE GEÇEREK PLANI SEVİYELENDİRİR.</t>
  </si>
  <si>
    <t>SEVKİYAT ALANI DÜZENİ OLUŞTURULMUŞTUR. ÜRÜN GRUPLARI / DOCK ALANLARI / MÜŞTERİ GRUPLARINA GÖRE AYRIŞTIRMALARLA SEVKİYATTA ÜRÜN KARŞIKLIĞININ ÖNÜNE GEÇİLMİŞTİR. KOMPONENT -HAMMADDE VE BİTMİŞ ÜRÜN STOK ALANLARI AYRI AYRI YÖNETİLMEKTEDİR.</t>
  </si>
  <si>
    <t>TOPLAMA VE BESLEME ROTALARI OLUŞTURULMUŞ. C/T HESAPLARI YAPILMIŞTIR. MALZEME DÖNGÜSÜ BU ROTA VE SÜRELER STANDART KABUL EDİLEREK YAPILMAKTADIR.</t>
  </si>
  <si>
    <t>STOK HARELETLERİ ARTTIRILARAK HAT/ HÜCRE İÇERİSİNDE VE DEPOLARDA ALAN KAZANIMI SAĞLANMAKTADIR. BESLEME FREKANSLARI SIKTIR VE UYUMLUDUR.</t>
  </si>
  <si>
    <t>İSTASYONLAR VE HATLAR ARASINDA ÇEKME SİSTEMİ UYGULANMAKTADIR. HATLAR BİRBİRLERİNİN İHTİYACI KADAR ÜRÜNÜ GEREKLİ ZAMANDA GEREKLİ MİKTARDA ÜRETMEKTEDİRLER.</t>
  </si>
  <si>
    <t>ÇEKME SİSTEMİ SÜPERMARKET YAPISI İLE DESTEKLENMEKTEDİR. SUPERMARKETLER GÖRSEL KONTOL YÖNTEMLERİ İLE YÖNETİLMEKTE İZLENEBİLMEKTEDİR.</t>
  </si>
  <si>
    <t>SÜPERMARKET VE HATLAR ARASI MALZEME TAŞIMA İÇİN KANBAN KARTLARI VE DÖNÜŞÜMLÜ KASALAR İLE SAĞLANMAKTADIR. KANBAN VE KASA DÖNGÜ FREKANSLARI BELİRLENMİŞTİR.</t>
  </si>
  <si>
    <t>MALZEME DAĞITIMI VE TOPLANMASI ÜRETİM PERSONELLERİ TARFINDAN DEĞİL, PC / PLANLAMAYA LOJİSTİK BİRİMLERİ / MUZUSUMASHİ - SU ÖRÜMCEĞİ GİBİ ORGANİZASYONLARLA YÖNETİLMEKTEDİR.</t>
  </si>
  <si>
    <t>MALZEME HAMMADDE AKIŞI FİFO YA GÖRE YAPILMAKTADIR. SON KULLANMA TARİHİ ELZEM OLMAYAN MALZEME TİPLERİNDE FIFO GERİYE DÖNÜK İZLEME İÇİN TAKİP AÇISINDAN AVANTAJ SAĞLAMAKTADIR.</t>
  </si>
  <si>
    <t>MALZEME DEPO YÖNETİMİ DÜZENLİDİR, MALZEMEYE ULAŞMA GÖRSEL ARAÇLAR VEYA BARKOD - TERMİNAL SİSTEMLERİ İLE SAĞLANMAKTADIR. ÜRÜN MALZEME KARIŞIKLIĞINA NEDEN OLACAK UNSURLAR ELEMİNE EDİLMİŞTİR.</t>
  </si>
  <si>
    <t>OEE PERFORMANSLARI HEDEF OLARAK TAKİP EDİLMEKTEDİR. OEE İYİLEŞTİRME ANLAMINDA BAKIM ANA HEDEFLERİ BELİRLENMİŞTİR. MTTR - MTBF İLE DESKTEKLENMEKTEDİR.</t>
  </si>
  <si>
    <t>BAKIM DEPARTMANI ORGANİZASYONEL OLARAK GÖREV VE SORUMLULUKLARI BELİRLENMİŞ VE PERSONEL YETKİNLİK MATRİSLERİ İLE EĞİTİM VE GELİŞİMLERİ TAKİP EDİLMEKTEDİR.</t>
  </si>
  <si>
    <t>BAKIM İÇİN TAKVİM VE PLANLAR OLUŞTURULMUŞTUR.  EKİPMANLAR VE MAKİNELER PLAN DOĞRULTUSUNDA BAKIMA ALINMAKTADIR. PLANA UYUM PERFORMANSI TAKİP EDİLMEKTEDİR.</t>
  </si>
  <si>
    <t>BAKIM GÖRECEK EKİPMANIN ÇALIŞMADIĞI SÜRE BOYUNCA YARATACAĞI NEGATİF ETKİ EKİPMAN BACK UP- DAR BOĞAZDA ETKİ- YEDEK PARÇA TEMİN LEAD TIME -SERVİS DESTEĞİ- VERİMLİLİK VE KALİTEYE ETKİSİ ÖNCEDEN MATRİSLEME YÖNTEMİ İLE PLANLANMIŞTIR.</t>
  </si>
  <si>
    <t>ÇEŞİTLİ ENERJİ TÜRLERİ TÜKETİMİ  İŞLETMEDE, SABİT VE DOLAYLI  OLARAK AYRIŞTIRILMIŞ , AYRICA MAKİNA GRUBU /TESİS BAZINDA HEDEFLERLE AYRI AYRI  TAKİP EDİLMEKTEDİR.SAPMALAR TESBİT EDİLEBİLMEKTE  VE AKSİYON PLANLARI OLUŞTURULMAKTADIR. SABİT VE DOLAYLI MALİYETLERİ (TÜKETİM MİKTARLARINI) AZALTMAYA YÖNELİK KAİZEN’LER PLANLANMAKTA VE GERÇEKLEŞTİRİLMEKTEDİR.</t>
  </si>
  <si>
    <t>BAKIM ATÖLYELERİNDE 5S VE GÖRSEL YÖNETİM ARAÇLARI ETKİN OLARAK KULLANILMAKTADIR. ATÖLYE DÜZENİ SAĞLANMIŞTIR.</t>
  </si>
  <si>
    <t>iŞLETMEDE MEVCUT TÜM EKİPMANIN TEKNİK ÖZELLİKLERİ, ALT EKİPMAN ÖZELLİKLERİ DAHİL   , GÜNCELLENEN BİR VERİTABANINDA BULUNMAKTADIR. BU VERİTABANINDAN  YILLIK YATIRIM PLANLAMASINDA , BACK UP ÇALIŞMALARINDA , TUTULACAK YEDEK ÇEŞİDİ VE SAYISININ SAPTANMASINDA , AYRICA   ÇEŞİTLİ İDARİ KONULARDA (SİGORTA, BENCHMARKİNG,   VB) YARARLANILIR.</t>
  </si>
  <si>
    <t>FMEA ÇALIŞMALARI VEYA RİSK TAHMİN ÇALIŞMALARI İLE EKİPMAN KAYNAKLI PROBLEMLER BİR SONRAKİ YATIRIM SÜREÇLERİNDE REFERANS OLARAK ELE ALINMAKTADIR. KÖK NEDEN ANALİZİ ÇALIŞMALARI İLE DE PROBLEMLERİN NEDENLERİ VE AKSİYONLARI PROAKTİF OLARAK BELİRLENMEKTDİR.</t>
  </si>
  <si>
    <t>OTONOM BAKIM / GÜNLÜK BAKIM / KULLANICI BAKIM ADI ALTINDA MAKİNE OPERATÖRLERİNİN KONTROL VE BAKIM KONULARINI ÜSTLENDİĞİ BİR BAKIM SİSTEMİ ÇALIŞMAKTADIR.</t>
  </si>
  <si>
    <t>OPERATÖR TEORİK VE EKİPMAN ÜZERİ EĞİTİMLERİ TAMAMLANMIŞ, GENEL KONTROLLER, EKİPMAN BİLEŞENLERİ, EĞİTİMLER ALMIŞLARDIR. HANGİ AŞAMADA KONTROL GERÇEKLEŞTİREBİLECEĞİ MATRİSLERLE TANIMLANMIŞTIR.</t>
  </si>
  <si>
    <t>BAKIM DEPARTMANI OPERATÖRLERİN GÜNLÜK KONROL KONULARINI BELİRLEMİŞ VE BİR STANDARDA BAĞLAMIŞTIR. STANDARTLAR GÜNLÜK OLARAK UYGULANMAKTA VE TEYİT EDİLMEKTEDİR.</t>
  </si>
  <si>
    <t>VARDİYALARDA VEYA GÜN SONUNDA EKİPMAN GENEL TEMİZLİKLERİ YAPILMAKTADIR. KİRLİLİK KAYNAKLARI TESPİT EDİLEREK PROBLEMLER TANIMLANMAKTADIR. HATA KARTI - KIRMIZI KART VE SOFTWARE ÜZERİNDEN BAKIM DEPARTMANINA GERİ BESLEME YAPILMAKTADIR.</t>
  </si>
  <si>
    <t>GÖRSEL KONTROL METOTLARI İLE OPERATÖRÜN BAKIM / KONTROL SÜREÇLERİ KOLAYLAŞTIRILARAK KONTROL İÇİN AYRILAN SÜRELER KISATILMAKTADIR.</t>
  </si>
  <si>
    <t>OPERATÖRLERİN ÖNCELİKLE ARIZA TESPİT, PROBLEM HATA TANIMLAMA, SONRASINDA ARIZAYA MÜDAHELE EDEBİLME YETKİNLİKLERİ GELİŞTİRİLMEKTE VE PERFORMANSLARI KPI OLARAK TAKİP EDİLMEKTEDİR.</t>
  </si>
  <si>
    <t>BAKIM VE ÜRETİM DEPARTMANLARI İLE OTONOM BAKIM İYİLEŞTİRME TOPLANTILARI ORGANİZE EDİLMEKTEDİR. BAKIM DEPARTMANI BİLDİRİLEN HATA GERİ BESLEMELERİNE HIZLI CEVAP VEREREK OPERATÖRLERİ DESTEKLEMEKTEDİR. HER GERİ BESLEME KAİZEN KONUSU OLARAK ELE ALINARAK KAİZEN PERFORMANSI İYİLEŞTİRİLMEKTEDİR.</t>
  </si>
  <si>
    <t>SAHA YÖNETİMİ,  KALİTE ŞARTLARINI GÜVENCE ALTINDA TUTABİLMEK İÇİN OLUŞAN HER TÜRLÜ DEĞİŞİK NOKTASI 4M BAŞLIKLARI ALTINDA TOPLANMIŞ VE GRUPLANDIRILMIŞTIR.</t>
  </si>
  <si>
    <t>OLUŞMASI MUHTEMEL VARYASYON KONULARI SAPTANMIŞTIR. AKSİYONLARI BELİRLENMİŞTİR. LİDERLERİN BU KONUDA HIZLI AKSİYONA GEÇEBİLMESİ GEREKLİ YETKİNLİKLERİ MEVCUTTUR.</t>
  </si>
  <si>
    <t>STANDART İŞLEYİŞ HAT YÖNETİM / GÖREVLENDİRME / VB GİBİ GÖRSEL PANOLARDA MEVCUTTUR. YERİNE BAŞKA ADAM ÇALIŞMASI, BAŞKA MALZEME, FARKLI EKİPMAN VB GİBİ KONULAR BU PANOLARDA DEĞİŞİM NOKTASI OLARAK GÖSTERİLEREK YÖNETİLMEKTEDİR.</t>
  </si>
  <si>
    <t>ÜRETİM ÖNCESİ ÖN KOŞULLARIN SAĞLANMASI, MALZEME, İNSAN, TALİMATLAR, CHECK LİSTLERİN İŞLEVSELLİĞİ, EKİPMAN KONTROLÜ GİBİ GÜNLÜK KONTROL ALTINDA OLMASI GEREKEN KONULAR LİDERLERE GÖREV OLARAK ATANMIŞ VE SÜRECİ YÖNETMELERİ SAĞLANMIŞTIR.</t>
  </si>
  <si>
    <t>DEĞİŞİKLİK OLUŞMASI DURUMUNDA OPERATÖRLER BU DEĞİŞİKLİĞİ ANDON LAMBALARI, SİNYALLER, RENKLİ BAYRAK  VB GİBİ GÖRSEL ARAÇLARLA GÖRSEL HALE GETİRMEKTEDİR.  LİDER BURADA DEVREYE GİREREK GEREKLİ AKSİYONLARI DEVREYE SOKAR. KALİTE İLE BİRLİKTE ÜRÜN KALİTESİNİ İZLER</t>
  </si>
  <si>
    <t>PROSES AKIŞ DEĞİŞİKLİĞİ, LAYOUTLARIN DEĞİŞMESİ, KAİZEN İLE EKİPMANLARDA YAPILAN İYİLEŞTİRMELER, POKAYOKE REVİZYONLARI VB GİBİ KONULAR HENKATEN KONUSU OLARAK ELE ALINIR. STANDARTLAR OLUŞANA KADAR OLUŞAN DEĞİŞİKLİK KONTROL ALTINDA TUTULUR.</t>
  </si>
  <si>
    <t>OLUŞAN HENKATEN MADDELERİ RAPORLANIR, KAYIT ALTINA ALINARAK AKSİYONLARI İLE BİRLİKTE KURUM HAFIZASINDA SAKLANIR. ÜRETİMİN AKSİYON KABİLİYETİ GELİŞTİRİLİR.</t>
  </si>
  <si>
    <t>YÖNETİMİN KATILIMI VE DESTEĞİ</t>
  </si>
  <si>
    <t>KALİTE İYİLEŞTİRME</t>
  </si>
  <si>
    <t>PLANLAMA VE LOJİSTİK YÖNETİMİ</t>
  </si>
  <si>
    <t>ÇEKME SİSTEMİ &amp; MALZEME YÖNETİMİ</t>
  </si>
  <si>
    <t>BAKIM YÖNETİMİ</t>
  </si>
  <si>
    <t>OTONOM BAKIM</t>
  </si>
  <si>
    <t>HENKATEN YÖNETİMİ</t>
  </si>
  <si>
    <t>GÜVENLİK</t>
  </si>
  <si>
    <t>GÖRSEL YÖNETİM</t>
  </si>
  <si>
    <t>S/W DENETİMLERİ</t>
  </si>
  <si>
    <t>LİDER YETKİNLİĞİ</t>
  </si>
  <si>
    <t>KALİTE HEDEFLERİ</t>
  </si>
  <si>
    <t>REWORK AZALTMA</t>
  </si>
  <si>
    <t>ÇEKME SİSTEMİ</t>
  </si>
  <si>
    <t>4M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</si>
</sst>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_ ;\-#,##0.0\ "/>
  </numFmts>
  <fonts count="44">
    <font>
      <sz val="11"/>
      <color theme="1"/>
      <name val="Calibri"/>
      <family val="2"/>
      <charset val="162"/>
      <scheme val="minor"/>
    </font>
    <font>
      <b/>
      <sz val="11"/>
      <color theme="1"/>
      <name val="Calibri"/>
      <family val="2"/>
      <charset val="162"/>
      <scheme val="minor"/>
    </font>
    <font>
      <sz val="10"/>
      <name val="Arial Tur"/>
      <charset val="162"/>
    </font>
    <font>
      <b/>
      <sz val="14"/>
      <color theme="0"/>
      <name val="Calibri"/>
      <family val="2"/>
      <charset val="162"/>
      <scheme val="minor"/>
    </font>
    <font>
      <b/>
      <sz val="14"/>
      <color theme="1"/>
      <name val="Calibri"/>
      <family val="2"/>
      <charset val="162"/>
      <scheme val="minor"/>
    </font>
    <font>
      <sz val="11"/>
      <name val="Calibri"/>
      <family val="2"/>
      <charset val="162"/>
      <scheme val="minor"/>
    </font>
    <font>
      <b/>
      <sz val="18"/>
      <color theme="1"/>
      <name val="Calibri"/>
      <family val="2"/>
      <charset val="162"/>
      <scheme val="minor"/>
    </font>
    <font>
      <b/>
      <sz val="22"/>
      <color theme="1"/>
      <name val="Calibri"/>
      <family val="2"/>
      <charset val="162"/>
      <scheme val="minor"/>
    </font>
    <font>
      <sz val="12"/>
      <color theme="1"/>
      <name val="Calibri"/>
      <family val="2"/>
      <charset val="162"/>
      <scheme val="minor"/>
    </font>
    <font>
      <b/>
      <sz val="12"/>
      <color theme="1"/>
      <name val="Calibri"/>
      <family val="2"/>
      <charset val="162"/>
      <scheme val="minor"/>
    </font>
    <font>
      <b/>
      <sz val="18"/>
      <name val="Calibri"/>
      <family val="2"/>
      <charset val="162"/>
      <scheme val="minor"/>
    </font>
    <font>
      <b/>
      <sz val="18"/>
      <color theme="2" tint="-0.499984740745262"/>
      <name val="Calibri"/>
      <family val="2"/>
      <charset val="162"/>
      <scheme val="minor"/>
    </font>
    <font>
      <b/>
      <sz val="14"/>
      <color theme="2" tint="-0.499984740745262"/>
      <name val="Calibri"/>
      <family val="2"/>
      <charset val="162"/>
      <scheme val="minor"/>
    </font>
    <font>
      <b/>
      <u/>
      <sz val="28"/>
      <color theme="1"/>
      <name val="Calibri"/>
      <family val="2"/>
      <charset val="162"/>
      <scheme val="minor"/>
    </font>
    <font>
      <b/>
      <sz val="18"/>
      <color theme="0"/>
      <name val="Calibri"/>
      <family val="2"/>
      <charset val="162"/>
      <scheme val="minor"/>
    </font>
    <font>
      <b/>
      <sz val="22"/>
      <name val="Calibri"/>
      <family val="2"/>
      <charset val="162"/>
      <scheme val="minor"/>
    </font>
    <font>
      <b/>
      <sz val="28"/>
      <name val="Calibri"/>
      <family val="2"/>
      <charset val="162"/>
      <scheme val="minor"/>
    </font>
    <font>
      <b/>
      <sz val="11"/>
      <name val="Calibri"/>
      <family val="2"/>
      <charset val="162"/>
      <scheme val="minor"/>
    </font>
    <font>
      <sz val="12"/>
      <name val="Calibri"/>
      <family val="2"/>
      <charset val="162"/>
      <scheme val="minor"/>
    </font>
    <font>
      <b/>
      <sz val="14"/>
      <name val="Calibri"/>
      <family val="2"/>
      <charset val="162"/>
      <scheme val="minor"/>
    </font>
    <font>
      <i/>
      <sz val="14"/>
      <color theme="1"/>
      <name val="Calibri"/>
      <family val="2"/>
      <charset val="162"/>
      <scheme val="minor"/>
    </font>
    <font>
      <b/>
      <sz val="16"/>
      <color theme="0"/>
      <name val="Calibri"/>
      <family val="2"/>
      <charset val="162"/>
      <scheme val="minor"/>
    </font>
    <font>
      <b/>
      <sz val="24"/>
      <color theme="0"/>
      <name val="Arial"/>
      <family val="2"/>
    </font>
    <font>
      <b/>
      <sz val="26"/>
      <color theme="2" tint="-0.499984740745262"/>
      <name val="Arial"/>
      <family val="2"/>
    </font>
    <font>
      <b/>
      <sz val="24"/>
      <color theme="2" tint="-0.499984740745262"/>
      <name val="Arial"/>
      <family val="2"/>
    </font>
    <font>
      <b/>
      <sz val="22"/>
      <color theme="2" tint="-0.499984740745262"/>
      <name val="Arial"/>
      <family val="2"/>
    </font>
    <font>
      <b/>
      <u/>
      <sz val="28"/>
      <color theme="1"/>
      <name val="Arial"/>
      <family val="2"/>
    </font>
    <font>
      <b/>
      <sz val="22"/>
      <color theme="0"/>
      <name val="Arial"/>
      <family val="2"/>
    </font>
    <font>
      <b/>
      <sz val="18"/>
      <name val="Arial"/>
      <family val="2"/>
    </font>
    <font>
      <sz val="11"/>
      <color theme="1"/>
      <name val="Arial"/>
      <family val="2"/>
    </font>
    <font>
      <b/>
      <sz val="18"/>
      <color theme="1"/>
      <name val="Arial"/>
      <family val="2"/>
    </font>
    <font>
      <sz val="16"/>
      <name val="Arial"/>
      <family val="2"/>
    </font>
    <font>
      <b/>
      <sz val="26"/>
      <color theme="1"/>
      <name val="Arial"/>
      <family val="2"/>
    </font>
    <font>
      <b/>
      <u/>
      <sz val="26"/>
      <color theme="1"/>
      <name val="Arial"/>
      <family val="2"/>
    </font>
    <font>
      <b/>
      <u/>
      <sz val="24"/>
      <color theme="1"/>
      <name val="Arial"/>
      <family val="2"/>
    </font>
    <font>
      <sz val="12"/>
      <name val="Arial"/>
      <family val="2"/>
    </font>
    <font>
      <b/>
      <sz val="16"/>
      <color theme="0"/>
      <name val="Arial"/>
      <family val="2"/>
    </font>
    <font>
      <sz val="14"/>
      <name val="Arial"/>
      <family val="2"/>
    </font>
    <font>
      <b/>
      <sz val="14"/>
      <color theme="0"/>
      <name val="Arial"/>
      <family val="2"/>
    </font>
    <font>
      <b/>
      <sz val="14"/>
      <name val="Arial"/>
      <family val="2"/>
    </font>
    <font>
      <sz val="10"/>
      <color theme="1"/>
      <name val="Arial"/>
      <family val="2"/>
    </font>
    <font>
      <b/>
      <sz val="18"/>
      <color theme="2" tint="-0.499984740745262"/>
      <name val="Arial"/>
      <family val="2"/>
    </font>
    <font>
      <b/>
      <sz val="16"/>
      <color theme="2" tint="-0.499984740745262"/>
      <name val="Arial"/>
      <family val="2"/>
    </font>
    <font>
      <b/>
      <sz val="16"/>
      <color theme="2" tint="-0.499984740745262"/>
      <name val="Calibri"/>
      <family val="2"/>
      <charset val="16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
      <patternFill patternType="solid">
        <fgColor rgb="FFC00000"/>
        <bgColor indexed="64"/>
      </patternFill>
    </fill>
    <fill>
      <patternFill patternType="solid">
        <fgColor rgb="FFE200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s>
  <cellStyleXfs count="3">
    <xf numFmtId="0" fontId="0" fillId="0" borderId="0"/>
    <xf numFmtId="0" fontId="2" fillId="0" borderId="0"/>
    <xf numFmtId="43" fontId="2" fillId="0" borderId="0" applyFont="0" applyFill="0" applyBorder="0" applyAlignment="0" applyProtection="0"/>
  </cellStyleXfs>
  <cellXfs count="139">
    <xf numFmtId="0" fontId="0" fillId="0" borderId="0" xfId="0"/>
    <xf numFmtId="0" fontId="2" fillId="0" borderId="0" xfId="1" applyAlignment="1">
      <alignment vertical="center"/>
    </xf>
    <xf numFmtId="0" fontId="2" fillId="0" borderId="0" xfId="1"/>
    <xf numFmtId="0" fontId="2" fillId="0" borderId="0" xfId="1" applyAlignment="1">
      <alignment wrapText="1"/>
    </xf>
    <xf numFmtId="0" fontId="0" fillId="0" borderId="0" xfId="0"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vertical="center" wrapText="1"/>
    </xf>
    <xf numFmtId="0" fontId="3" fillId="3" borderId="1" xfId="0" applyFont="1" applyFill="1" applyBorder="1" applyAlignment="1">
      <alignment horizontal="center" vertical="center" textRotation="90" wrapText="1"/>
    </xf>
    <xf numFmtId="0" fontId="4" fillId="2" borderId="1" xfId="0" applyFont="1" applyFill="1" applyBorder="1" applyAlignment="1">
      <alignment horizontal="center" vertical="center"/>
    </xf>
    <xf numFmtId="0" fontId="0" fillId="0" borderId="1" xfId="0" applyBorder="1"/>
    <xf numFmtId="0" fontId="1" fillId="0" borderId="1" xfId="0" applyFont="1" applyBorder="1"/>
    <xf numFmtId="0" fontId="0" fillId="0" borderId="4" xfId="0" applyBorder="1" applyAlignment="1">
      <alignment horizontal="center" vertical="center" wrapText="1"/>
    </xf>
    <xf numFmtId="0" fontId="3" fillId="3" borderId="4" xfId="0" applyFont="1" applyFill="1" applyBorder="1" applyAlignment="1">
      <alignment horizontal="center" vertical="center" textRotation="90" wrapText="1"/>
    </xf>
    <xf numFmtId="0" fontId="0" fillId="0" borderId="6" xfId="0" applyBorder="1" applyAlignment="1">
      <alignment horizontal="center" vertical="center" wrapText="1"/>
    </xf>
    <xf numFmtId="0" fontId="3" fillId="3" borderId="7" xfId="0" applyFont="1" applyFill="1" applyBorder="1" applyAlignment="1">
      <alignment horizontal="center" vertical="center" textRotation="90" wrapText="1"/>
    </xf>
    <xf numFmtId="0" fontId="0" fillId="0" borderId="3" xfId="0" applyBorder="1" applyAlignment="1">
      <alignment horizontal="center" vertical="center" wrapText="1"/>
    </xf>
    <xf numFmtId="0" fontId="3" fillId="3" borderId="8" xfId="0" applyFont="1" applyFill="1" applyBorder="1" applyAlignment="1">
      <alignment horizontal="center" vertical="center" textRotation="90" wrapText="1"/>
    </xf>
    <xf numFmtId="0" fontId="3" fillId="3" borderId="2" xfId="0" applyFont="1" applyFill="1" applyBorder="1" applyAlignment="1">
      <alignment horizontal="center" vertical="center" textRotation="90" wrapText="1"/>
    </xf>
    <xf numFmtId="0" fontId="2" fillId="0" borderId="1" xfId="1" applyBorder="1" applyAlignment="1">
      <alignment vertical="center"/>
    </xf>
    <xf numFmtId="0" fontId="2" fillId="0" borderId="1" xfId="1" applyBorder="1"/>
    <xf numFmtId="0" fontId="2" fillId="0" borderId="1" xfId="1" applyBorder="1" applyAlignment="1">
      <alignment wrapText="1"/>
    </xf>
    <xf numFmtId="164" fontId="0" fillId="0" borderId="1" xfId="2" applyNumberFormat="1" applyFont="1" applyBorder="1"/>
    <xf numFmtId="14" fontId="0" fillId="0" borderId="0" xfId="0" applyNumberFormat="1"/>
    <xf numFmtId="0" fontId="6" fillId="0" borderId="0" xfId="0" applyFont="1" applyAlignment="1">
      <alignment vertical="center"/>
    </xf>
    <xf numFmtId="0" fontId="5" fillId="4" borderId="0" xfId="0" applyFont="1" applyFill="1"/>
    <xf numFmtId="14" fontId="6" fillId="0" borderId="0" xfId="0" applyNumberFormat="1" applyFont="1" applyAlignment="1">
      <alignment vertical="center"/>
    </xf>
    <xf numFmtId="0" fontId="6" fillId="0" borderId="0" xfId="0" applyFont="1" applyAlignment="1">
      <alignment horizontal="left" vertical="center"/>
    </xf>
    <xf numFmtId="14" fontId="6" fillId="0" borderId="0" xfId="0" applyNumberFormat="1" applyFont="1" applyAlignment="1">
      <alignment horizontal="left" vertical="center"/>
    </xf>
    <xf numFmtId="0" fontId="7" fillId="0" borderId="0" xfId="0" applyFont="1" applyAlignment="1">
      <alignment vertical="center"/>
    </xf>
    <xf numFmtId="0" fontId="11" fillId="0" borderId="0" xfId="0" applyFont="1"/>
    <xf numFmtId="0" fontId="11" fillId="0" borderId="0" xfId="0" applyFont="1" applyAlignment="1">
      <alignment horizontal="left" vertical="center"/>
    </xf>
    <xf numFmtId="0" fontId="11" fillId="0" borderId="0" xfId="0" applyFont="1" applyAlignment="1">
      <alignment vertical="center"/>
    </xf>
    <xf numFmtId="0" fontId="5" fillId="0" borderId="0" xfId="0" applyFont="1"/>
    <xf numFmtId="1" fontId="0" fillId="0" borderId="0" xfId="0" applyNumberFormat="1"/>
    <xf numFmtId="0" fontId="10"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14" fontId="10" fillId="0" borderId="0" xfId="0" applyNumberFormat="1" applyFont="1" applyAlignment="1">
      <alignment horizontal="left" vertical="center"/>
    </xf>
    <xf numFmtId="0" fontId="0" fillId="0" borderId="5" xfId="0" applyBorder="1"/>
    <xf numFmtId="0" fontId="17" fillId="0" borderId="0" xfId="0" applyFont="1" applyAlignment="1">
      <alignment vertical="center"/>
    </xf>
    <xf numFmtId="1" fontId="19" fillId="0" borderId="1" xfId="0" applyNumberFormat="1" applyFont="1" applyBorder="1" applyAlignment="1">
      <alignment horizontal="center" vertical="center"/>
    </xf>
    <xf numFmtId="0" fontId="18" fillId="0" borderId="13" xfId="0" applyFont="1" applyBorder="1" applyAlignment="1">
      <alignment horizontal="center" vertical="center"/>
    </xf>
    <xf numFmtId="0" fontId="18" fillId="0" borderId="15" xfId="0" applyFont="1" applyBorder="1" applyAlignment="1">
      <alignment horizontal="center" vertical="center"/>
    </xf>
    <xf numFmtId="1" fontId="19" fillId="0" borderId="19" xfId="0" applyNumberFormat="1" applyFont="1" applyBorder="1" applyAlignment="1">
      <alignment horizontal="center" vertical="center"/>
    </xf>
    <xf numFmtId="0" fontId="21" fillId="3" borderId="7" xfId="0" applyFont="1" applyFill="1" applyBorder="1" applyAlignment="1">
      <alignment horizontal="center"/>
    </xf>
    <xf numFmtId="0" fontId="0" fillId="0" borderId="0" xfId="0" applyAlignment="1">
      <alignment horizontal="center"/>
    </xf>
    <xf numFmtId="0" fontId="6"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5" fillId="4" borderId="0" xfId="0" applyFont="1" applyFill="1" applyAlignment="1">
      <alignment horizontal="center"/>
    </xf>
    <xf numFmtId="0" fontId="13" fillId="2" borderId="1" xfId="0" applyFont="1" applyFill="1" applyBorder="1" applyAlignment="1">
      <alignment horizontal="center" vertical="center"/>
    </xf>
    <xf numFmtId="0" fontId="20" fillId="0" borderId="0" xfId="0" applyFont="1" applyAlignment="1">
      <alignment horizontal="left" vertical="center" wrapText="1"/>
    </xf>
    <xf numFmtId="0" fontId="4" fillId="0" borderId="1" xfId="0" applyFont="1" applyBorder="1" applyAlignment="1">
      <alignment horizontal="left" vertical="center"/>
    </xf>
    <xf numFmtId="0" fontId="4" fillId="0" borderId="14" xfId="0" applyFont="1" applyBorder="1" applyAlignment="1">
      <alignment horizontal="left" vertical="center"/>
    </xf>
    <xf numFmtId="0" fontId="4" fillId="0" borderId="4" xfId="0" applyFont="1" applyBorder="1" applyAlignment="1">
      <alignment horizontal="left" vertical="center"/>
    </xf>
    <xf numFmtId="0" fontId="4" fillId="0" borderId="26" xfId="0" applyFont="1" applyBorder="1" applyAlignment="1">
      <alignment horizontal="left" vertical="center"/>
    </xf>
    <xf numFmtId="0" fontId="21" fillId="3" borderId="21" xfId="0" applyFont="1" applyFill="1" applyBorder="1" applyAlignment="1">
      <alignment horizontal="center" vertical="center"/>
    </xf>
    <xf numFmtId="0" fontId="21" fillId="3" borderId="7" xfId="0" applyFont="1" applyFill="1" applyBorder="1" applyAlignment="1">
      <alignment horizontal="center" vertical="center"/>
    </xf>
    <xf numFmtId="0" fontId="0" fillId="0" borderId="7" xfId="0" applyBorder="1" applyAlignment="1">
      <alignment horizontal="center"/>
    </xf>
    <xf numFmtId="0" fontId="0" fillId="0" borderId="22" xfId="0" applyBorder="1" applyAlignment="1">
      <alignment horizontal="center"/>
    </xf>
    <xf numFmtId="0" fontId="0" fillId="0" borderId="1" xfId="0" applyBorder="1" applyAlignment="1">
      <alignment horizontal="center"/>
    </xf>
    <xf numFmtId="0" fontId="0" fillId="0" borderId="14"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 fillId="3" borderId="13" xfId="0" applyFont="1" applyFill="1" applyBorder="1" applyAlignment="1">
      <alignment horizontal="left" vertical="center"/>
    </xf>
    <xf numFmtId="0" fontId="3" fillId="3" borderId="1" xfId="0" applyFont="1" applyFill="1" applyBorder="1" applyAlignment="1">
      <alignment horizontal="left" vertical="center"/>
    </xf>
    <xf numFmtId="0" fontId="14" fillId="3" borderId="11" xfId="0" applyFont="1" applyFill="1" applyBorder="1" applyAlignment="1">
      <alignment horizontal="center" vertical="center"/>
    </xf>
    <xf numFmtId="0" fontId="14" fillId="3" borderId="12" xfId="0" applyFont="1" applyFill="1" applyBorder="1" applyAlignment="1">
      <alignment horizontal="center" vertical="center"/>
    </xf>
    <xf numFmtId="0" fontId="6" fillId="0" borderId="1" xfId="0" applyFont="1" applyBorder="1" applyAlignment="1">
      <alignment horizontal="center" vertical="center"/>
    </xf>
    <xf numFmtId="0" fontId="6" fillId="0" borderId="14" xfId="0" applyFont="1" applyBorder="1" applyAlignment="1">
      <alignment horizontal="center" vertical="center"/>
    </xf>
    <xf numFmtId="0" fontId="3" fillId="3" borderId="25" xfId="0" applyFont="1" applyFill="1" applyBorder="1" applyAlignment="1">
      <alignment horizontal="left" vertical="center"/>
    </xf>
    <xf numFmtId="0" fontId="3" fillId="3" borderId="4" xfId="0" applyFont="1" applyFill="1" applyBorder="1" applyAlignment="1">
      <alignment horizontal="left" vertical="center"/>
    </xf>
    <xf numFmtId="0" fontId="14" fillId="3" borderId="23" xfId="0" applyFont="1" applyFill="1" applyBorder="1" applyAlignment="1">
      <alignment horizontal="center" vertical="center"/>
    </xf>
    <xf numFmtId="0" fontId="14" fillId="3" borderId="24" xfId="0" applyFont="1" applyFill="1" applyBorder="1" applyAlignment="1">
      <alignment horizontal="center" vertical="center"/>
    </xf>
    <xf numFmtId="0" fontId="14" fillId="3" borderId="27" xfId="0" applyFont="1" applyFill="1" applyBorder="1" applyAlignment="1">
      <alignment horizontal="center" vertical="center"/>
    </xf>
    <xf numFmtId="0" fontId="14" fillId="3" borderId="10" xfId="0" applyFont="1" applyFill="1" applyBorder="1" applyAlignment="1">
      <alignment horizontal="left" vertical="center"/>
    </xf>
    <xf numFmtId="0" fontId="14" fillId="3" borderId="11" xfId="0" applyFont="1" applyFill="1" applyBorder="1" applyAlignment="1">
      <alignment horizontal="left" vertical="center"/>
    </xf>
    <xf numFmtId="0" fontId="14" fillId="3" borderId="13" xfId="0" applyFont="1" applyFill="1" applyBorder="1" applyAlignment="1">
      <alignment horizontal="left" vertical="center"/>
    </xf>
    <xf numFmtId="0" fontId="14" fillId="3" borderId="1" xfId="0" applyFont="1" applyFill="1" applyBorder="1" applyAlignment="1">
      <alignment horizontal="left" vertical="center"/>
    </xf>
    <xf numFmtId="0" fontId="14" fillId="3" borderId="15" xfId="0" applyFont="1" applyFill="1" applyBorder="1" applyAlignment="1">
      <alignment horizontal="left" vertical="center"/>
    </xf>
    <xf numFmtId="0" fontId="14" fillId="3" borderId="19" xfId="0" applyFont="1" applyFill="1" applyBorder="1" applyAlignment="1">
      <alignment horizontal="left"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14" fontId="4" fillId="0" borderId="1" xfId="0" applyNumberFormat="1" applyFont="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4" xfId="0" applyFont="1" applyBorder="1" applyAlignment="1">
      <alignment horizontal="center" vertical="center"/>
    </xf>
    <xf numFmtId="0" fontId="1" fillId="0" borderId="0" xfId="0" applyFont="1" applyAlignment="1">
      <alignment horizontal="center" vertical="center" wrapText="1"/>
    </xf>
    <xf numFmtId="0" fontId="8" fillId="0" borderId="0" xfId="0" applyFont="1" applyAlignment="1">
      <alignment horizontal="left" vertical="center" wrapText="1"/>
    </xf>
    <xf numFmtId="0" fontId="9" fillId="0" borderId="0" xfId="0" applyFont="1" applyAlignment="1">
      <alignment horizontal="left" vertical="center"/>
    </xf>
    <xf numFmtId="0" fontId="0" fillId="0" borderId="1" xfId="0" applyBorder="1" applyAlignment="1">
      <alignment horizontal="center" vertical="center"/>
    </xf>
    <xf numFmtId="0" fontId="4" fillId="2" borderId="1" xfId="0" applyFont="1" applyFill="1" applyBorder="1" applyAlignment="1">
      <alignment horizontal="center" vertical="center"/>
    </xf>
    <xf numFmtId="0" fontId="0" fillId="0" borderId="3" xfId="0" applyBorder="1" applyAlignment="1">
      <alignment horizontal="center" vertical="center"/>
    </xf>
    <xf numFmtId="0" fontId="22" fillId="5" borderId="0" xfId="0" applyFont="1" applyFill="1" applyAlignment="1">
      <alignment horizontal="center" vertical="center"/>
    </xf>
    <xf numFmtId="0" fontId="23" fillId="0" borderId="0" xfId="0" applyFont="1" applyAlignment="1">
      <alignment horizontal="left" vertical="center" indent="2"/>
    </xf>
    <xf numFmtId="0" fontId="24" fillId="0" borderId="0" xfId="0" applyFont="1" applyAlignment="1">
      <alignment horizontal="left" vertical="center" indent="2"/>
    </xf>
    <xf numFmtId="0" fontId="26" fillId="2" borderId="1" xfId="0" applyFont="1" applyFill="1" applyBorder="1" applyAlignment="1">
      <alignment horizontal="center" vertical="center"/>
    </xf>
    <xf numFmtId="0" fontId="27" fillId="3"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0" xfId="0" applyFont="1"/>
    <xf numFmtId="0" fontId="30" fillId="0" borderId="0" xfId="0" applyFont="1" applyAlignment="1">
      <alignment vertical="center"/>
    </xf>
    <xf numFmtId="0" fontId="31" fillId="0" borderId="1" xfId="0" applyFont="1" applyBorder="1" applyAlignment="1">
      <alignment horizontal="left" vertical="center" wrapText="1"/>
    </xf>
    <xf numFmtId="0" fontId="32" fillId="0" borderId="1" xfId="0" applyFont="1" applyBorder="1" applyAlignment="1">
      <alignment horizontal="center" vertical="center"/>
    </xf>
    <xf numFmtId="0" fontId="33" fillId="2" borderId="1" xfId="0" applyFont="1" applyFill="1" applyBorder="1" applyAlignment="1">
      <alignment horizontal="center" vertical="center"/>
    </xf>
    <xf numFmtId="0" fontId="34" fillId="2" borderId="1" xfId="0" applyFont="1" applyFill="1" applyBorder="1" applyAlignment="1">
      <alignment horizontal="center" vertical="center"/>
    </xf>
    <xf numFmtId="0" fontId="37" fillId="0" borderId="1" xfId="0" applyFont="1" applyBorder="1" applyAlignment="1">
      <alignment horizontal="center" vertical="center"/>
    </xf>
    <xf numFmtId="0" fontId="37" fillId="0" borderId="1" xfId="0" applyFont="1" applyBorder="1" applyAlignment="1">
      <alignment horizontal="left" vertical="center"/>
    </xf>
    <xf numFmtId="0" fontId="38" fillId="3" borderId="1" xfId="0" applyFont="1" applyFill="1" applyBorder="1" applyAlignment="1">
      <alignment horizontal="center" vertical="center"/>
    </xf>
    <xf numFmtId="0" fontId="39" fillId="0" borderId="1" xfId="0" applyFont="1" applyBorder="1" applyAlignment="1">
      <alignment horizontal="left" vertical="center" wrapText="1"/>
    </xf>
    <xf numFmtId="0" fontId="35" fillId="0" borderId="1" xfId="0" applyFont="1" applyBorder="1" applyAlignment="1">
      <alignment horizontal="left" vertical="center" wrapText="1"/>
    </xf>
    <xf numFmtId="0" fontId="36" fillId="3" borderId="10" xfId="0" applyFont="1" applyFill="1" applyBorder="1" applyAlignment="1">
      <alignment horizontal="center" vertical="center"/>
    </xf>
    <xf numFmtId="0" fontId="36" fillId="3" borderId="11" xfId="0" applyFont="1" applyFill="1" applyBorder="1" applyAlignment="1">
      <alignment horizontal="center" vertical="center"/>
    </xf>
    <xf numFmtId="0" fontId="36" fillId="3" borderId="12" xfId="0" applyFont="1" applyFill="1" applyBorder="1" applyAlignment="1">
      <alignment horizontal="center" vertical="center"/>
    </xf>
    <xf numFmtId="0" fontId="18" fillId="0" borderId="2" xfId="0" applyFont="1" applyBorder="1" applyAlignment="1">
      <alignment horizontal="left" vertical="center"/>
    </xf>
    <xf numFmtId="0" fontId="18" fillId="0" borderId="9" xfId="0" applyFont="1" applyBorder="1" applyAlignment="1">
      <alignment horizontal="left" vertical="center"/>
    </xf>
    <xf numFmtId="0" fontId="18" fillId="0" borderId="3" xfId="0" applyFont="1" applyBorder="1" applyAlignment="1">
      <alignment horizontal="left" vertical="center"/>
    </xf>
    <xf numFmtId="0" fontId="18" fillId="0" borderId="16" xfId="0" applyFont="1" applyBorder="1" applyAlignment="1">
      <alignment horizontal="left" vertical="center"/>
    </xf>
    <xf numFmtId="0" fontId="18" fillId="0" borderId="17" xfId="0" applyFont="1" applyBorder="1" applyAlignment="1">
      <alignment horizontal="left" vertical="center"/>
    </xf>
    <xf numFmtId="0" fontId="18" fillId="0" borderId="18" xfId="0" applyFont="1" applyBorder="1" applyAlignment="1">
      <alignment horizontal="left" vertical="center"/>
    </xf>
    <xf numFmtId="0" fontId="1" fillId="0" borderId="0" xfId="0" applyFont="1" applyAlignment="1">
      <alignment horizontal="left" vertical="center" wrapText="1"/>
    </xf>
    <xf numFmtId="0" fontId="29" fillId="0" borderId="0" xfId="0" applyFont="1" applyAlignment="1">
      <alignment horizontal="left" vertical="center" wrapText="1"/>
    </xf>
    <xf numFmtId="0" fontId="29" fillId="0" borderId="0" xfId="0" applyFont="1" applyAlignment="1">
      <alignment vertical="center" wrapText="1"/>
    </xf>
    <xf numFmtId="0" fontId="27" fillId="5" borderId="0" xfId="0" applyFont="1" applyFill="1" applyAlignment="1">
      <alignment horizontal="center" vertical="center"/>
    </xf>
    <xf numFmtId="0" fontId="0" fillId="0" borderId="1" xfId="0" applyBorder="1" applyAlignment="1">
      <alignment horizontal="left" vertical="center" wrapText="1"/>
    </xf>
    <xf numFmtId="0" fontId="29" fillId="0" borderId="1" xfId="0" applyFont="1" applyBorder="1" applyAlignment="1">
      <alignment horizontal="left" vertical="center" wrapText="1"/>
    </xf>
    <xf numFmtId="0" fontId="40" fillId="0" borderId="1" xfId="0" applyFont="1" applyBorder="1" applyAlignment="1">
      <alignment horizontal="left" vertical="center" wrapText="1"/>
    </xf>
    <xf numFmtId="0" fontId="3" fillId="3" borderId="1" xfId="0" applyFont="1" applyFill="1" applyBorder="1" applyAlignment="1">
      <alignment horizontal="center"/>
    </xf>
    <xf numFmtId="0" fontId="38" fillId="3" borderId="1" xfId="0" applyFont="1" applyFill="1" applyBorder="1" applyAlignment="1">
      <alignment horizontal="center"/>
    </xf>
    <xf numFmtId="0" fontId="29" fillId="0" borderId="3" xfId="0" applyFont="1" applyBorder="1" applyAlignment="1">
      <alignment horizontal="left" vertical="center" wrapText="1"/>
    </xf>
    <xf numFmtId="0" fontId="29" fillId="0" borderId="4" xfId="0" applyFont="1" applyBorder="1" applyAlignment="1">
      <alignment horizontal="left" vertical="center" wrapText="1"/>
    </xf>
    <xf numFmtId="0" fontId="29" fillId="0" borderId="1" xfId="0" applyFont="1" applyBorder="1" applyAlignment="1">
      <alignment horizontal="center" vertical="center" wrapText="1"/>
    </xf>
    <xf numFmtId="0" fontId="29" fillId="0" borderId="4" xfId="0" applyFont="1" applyBorder="1" applyAlignment="1">
      <alignment horizontal="center" vertical="center" wrapText="1"/>
    </xf>
    <xf numFmtId="0" fontId="0" fillId="0" borderId="1" xfId="0" applyBorder="1" applyAlignment="1">
      <alignment vertical="center" wrapText="1"/>
    </xf>
    <xf numFmtId="0" fontId="25" fillId="0" borderId="0" xfId="0" applyFont="1" applyAlignment="1">
      <alignment horizontal="left" vertical="center" indent="1"/>
    </xf>
    <xf numFmtId="0" fontId="41" fillId="0" borderId="0" xfId="0" applyFont="1" applyAlignment="1">
      <alignment horizontal="left" vertical="center"/>
    </xf>
    <xf numFmtId="14" fontId="42" fillId="0" borderId="0" xfId="0" applyNumberFormat="1" applyFont="1" applyAlignment="1">
      <alignment horizontal="left" vertical="center"/>
    </xf>
    <xf numFmtId="14" fontId="43" fillId="0" borderId="0" xfId="0" applyNumberFormat="1" applyFont="1" applyAlignment="1">
      <alignment horizontal="left" vertical="center"/>
    </xf>
    <xf numFmtId="14" fontId="42" fillId="0" borderId="0" xfId="0" applyNumberFormat="1" applyFont="1" applyAlignment="1">
      <alignment horizontal="left" vertical="center"/>
    </xf>
    <xf numFmtId="0" fontId="42" fillId="0" borderId="0" xfId="0" applyFont="1" applyAlignment="1">
      <alignment horizontal="left" vertical="center"/>
    </xf>
  </cellXfs>
  <cellStyles count="3">
    <cellStyle name="Normal" xfId="0" builtinId="0"/>
    <cellStyle name="Normal 2" xfId="1" xr:uid="{00000000-0005-0000-0000-000001000000}"/>
    <cellStyle name="Virgül 2" xfId="2" xr:uid="{00000000-0005-0000-0000-000002000000}"/>
  </cellStyles>
  <dxfs count="12">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alignment horizontal="general" vertical="center" textRotation="0" wrapText="0" indent="0" justifyLastLine="0" shrinkToFit="0" readingOrder="0"/>
    </dxf>
    <dxf>
      <numFmt numFmtId="1" formatCode="0"/>
    </dxf>
    <dxf>
      <numFmt numFmtId="19" formatCode="d/mm/yyyy"/>
    </dxf>
    <dxf>
      <numFmt numFmtId="19" formatCode="d/mm/yyyy"/>
    </dxf>
    <dxf>
      <alignment horizontal="general" vertical="center" textRotation="0" wrapText="0" indent="0" justifyLastLine="0" shrinkToFit="0" readingOrder="0"/>
    </dxf>
  </dxfs>
  <tableStyles count="0" defaultTableStyle="TableStyleMedium2" defaultPivotStyle="PivotStyleLight16"/>
  <colors>
    <mruColors>
      <color rgb="FFFFFF66"/>
      <color rgb="FFFFFF99"/>
      <color rgb="FFFF2121"/>
      <color rgb="FFE20000"/>
      <color rgb="FFFF01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2"/>
          <c:order val="2"/>
          <c:spPr>
            <a:solidFill>
              <a:schemeClr val="accent2">
                <a:lumMod val="40000"/>
                <a:lumOff val="60000"/>
                <a:alpha val="45000"/>
              </a:schemeClr>
            </a:solidFill>
            <a:ln w="22225">
              <a:solidFill>
                <a:srgbClr val="FF2121"/>
              </a:solidFill>
              <a:prstDash val="sysDash"/>
            </a:ln>
            <a:effectLst>
              <a:outerShdw sx="1000" sy="1000" algn="ctr" rotWithShape="0">
                <a:srgbClr val="000000"/>
              </a:outerShdw>
            </a:effectLst>
          </c:spPr>
          <c:cat>
            <c:strRef>
              <c:f>'8'!$D$13:$D$30</c:f>
              <c:strCache>
                <c:ptCount val="18"/>
                <c:pt idx="0">
                  <c:v>YÖNETİMİN KATILIMI VE DESTEĞİ</c:v>
                </c:pt>
                <c:pt idx="1">
                  <c:v>DEĞER &amp; MALİYET YÖNETİMİ</c:v>
                </c:pt>
                <c:pt idx="2">
                  <c:v>EĞİTİM VE IK YÖNETİMİ</c:v>
                </c:pt>
                <c:pt idx="3">
                  <c:v>GÜVENLİK &amp; ERGONOMİ</c:v>
                </c:pt>
                <c:pt idx="4">
                  <c:v>5S</c:v>
                </c:pt>
                <c:pt idx="5">
                  <c:v>GÖRSEL FABRİKA</c:v>
                </c:pt>
                <c:pt idx="6">
                  <c:v>STANDART İŞ</c:v>
                </c:pt>
                <c:pt idx="7">
                  <c:v>İYİLEŞTİRME / GELİŞİM</c:v>
                </c:pt>
                <c:pt idx="8">
                  <c:v>SMED -C/O AZALTMA</c:v>
                </c:pt>
                <c:pt idx="9">
                  <c:v>TEK PARÇA AKIŞI / ESNEK İŞ GÜCÜ</c:v>
                </c:pt>
                <c:pt idx="10">
                  <c:v>ÜRETİM -PROSES UYGULAMALARI</c:v>
                </c:pt>
                <c:pt idx="11">
                  <c:v>SAHA YÖNETİMİ &amp; LİDERLİK</c:v>
                </c:pt>
                <c:pt idx="12">
                  <c:v>KALİTE İYİLEŞTİRME</c:v>
                </c:pt>
                <c:pt idx="13">
                  <c:v>PLANLAMA VE LOJİSTİK YÖNETİMİ</c:v>
                </c:pt>
                <c:pt idx="14">
                  <c:v>ÇEKME SİSTEMİ &amp; MALZEME YÖNETİMİ</c:v>
                </c:pt>
                <c:pt idx="15">
                  <c:v>BAKIM YÖNETİMİ</c:v>
                </c:pt>
                <c:pt idx="16">
                  <c:v>OTONOM BAKIM</c:v>
                </c:pt>
                <c:pt idx="17">
                  <c:v>HENKATEN YÖNETİMİ</c:v>
                </c:pt>
              </c:strCache>
            </c:strRef>
          </c:cat>
          <c:val>
            <c:numRef>
              <c:f>'8'!$G$13:$G$30</c:f>
              <c:numCache>
                <c:formatCode>0</c:formatCode>
                <c:ptCount val="18"/>
                <c:pt idx="0">
                  <c:v>45</c:v>
                </c:pt>
                <c:pt idx="1">
                  <c:v>45</c:v>
                </c:pt>
                <c:pt idx="2">
                  <c:v>45</c:v>
                </c:pt>
                <c:pt idx="3">
                  <c:v>45</c:v>
                </c:pt>
                <c:pt idx="4">
                  <c:v>45</c:v>
                </c:pt>
                <c:pt idx="5">
                  <c:v>45</c:v>
                </c:pt>
                <c:pt idx="6">
                  <c:v>45</c:v>
                </c:pt>
                <c:pt idx="7">
                  <c:v>45</c:v>
                </c:pt>
                <c:pt idx="8">
                  <c:v>45</c:v>
                </c:pt>
                <c:pt idx="9">
                  <c:v>45</c:v>
                </c:pt>
                <c:pt idx="10">
                  <c:v>45</c:v>
                </c:pt>
                <c:pt idx="11">
                  <c:v>45</c:v>
                </c:pt>
                <c:pt idx="12">
                  <c:v>45</c:v>
                </c:pt>
                <c:pt idx="13">
                  <c:v>45</c:v>
                </c:pt>
                <c:pt idx="14">
                  <c:v>45</c:v>
                </c:pt>
                <c:pt idx="15">
                  <c:v>45</c:v>
                </c:pt>
                <c:pt idx="16">
                  <c:v>45</c:v>
                </c:pt>
                <c:pt idx="17">
                  <c:v>45</c:v>
                </c:pt>
              </c:numCache>
            </c:numRef>
          </c:val>
          <c:extLst>
            <c:ext xmlns:c16="http://schemas.microsoft.com/office/drawing/2014/chart" uri="{C3380CC4-5D6E-409C-BE32-E72D297353CC}">
              <c16:uniqueId val="{00000002-DDB1-405E-81C9-5F019DF56038}"/>
            </c:ext>
          </c:extLst>
        </c:ser>
        <c:dLbls>
          <c:showLegendKey val="0"/>
          <c:showVal val="0"/>
          <c:showCatName val="0"/>
          <c:showSerName val="0"/>
          <c:showPercent val="0"/>
          <c:showBubbleSize val="0"/>
        </c:dLbls>
        <c:axId val="89601135"/>
        <c:axId val="89607375"/>
        <c:extLst>
          <c:ext xmlns:c15="http://schemas.microsoft.com/office/drawing/2012/chart" uri="{02D57815-91ED-43cb-92C2-25804820EDAC}">
            <c15:filteredRadarSeries>
              <c15:ser>
                <c:idx val="1"/>
                <c:order val="1"/>
                <c:spPr>
                  <a:solidFill>
                    <a:schemeClr val="accent2"/>
                  </a:solidFill>
                  <a:ln>
                    <a:noFill/>
                  </a:ln>
                  <a:effectLst/>
                </c:spPr>
                <c:cat>
                  <c:strRef>
                    <c:extLst>
                      <c:ext uri="{02D57815-91ED-43cb-92C2-25804820EDAC}">
                        <c15:formulaRef>
                          <c15:sqref>'8'!$D$13:$D$30</c15:sqref>
                        </c15:formulaRef>
                      </c:ext>
                    </c:extLst>
                    <c:strCache>
                      <c:ptCount val="18"/>
                      <c:pt idx="0">
                        <c:v>YÖNETİMİN KATILIMI VE DESTEĞİ</c:v>
                      </c:pt>
                      <c:pt idx="1">
                        <c:v>DEĞER &amp; MALİYET YÖNETİMİ</c:v>
                      </c:pt>
                      <c:pt idx="2">
                        <c:v>EĞİTİM VE IK YÖNETİMİ</c:v>
                      </c:pt>
                      <c:pt idx="3">
                        <c:v>GÜVENLİK &amp; ERGONOMİ</c:v>
                      </c:pt>
                      <c:pt idx="4">
                        <c:v>5S</c:v>
                      </c:pt>
                      <c:pt idx="5">
                        <c:v>GÖRSEL FABRİKA</c:v>
                      </c:pt>
                      <c:pt idx="6">
                        <c:v>STANDART İŞ</c:v>
                      </c:pt>
                      <c:pt idx="7">
                        <c:v>İYİLEŞTİRME / GELİŞİM</c:v>
                      </c:pt>
                      <c:pt idx="8">
                        <c:v>SMED -C/O AZALTMA</c:v>
                      </c:pt>
                      <c:pt idx="9">
                        <c:v>TEK PARÇA AKIŞI / ESNEK İŞ GÜCÜ</c:v>
                      </c:pt>
                      <c:pt idx="10">
                        <c:v>ÜRETİM -PROSES UYGULAMALARI</c:v>
                      </c:pt>
                      <c:pt idx="11">
                        <c:v>SAHA YÖNETİMİ &amp; LİDERLİK</c:v>
                      </c:pt>
                      <c:pt idx="12">
                        <c:v>KALİTE İYİLEŞTİRME</c:v>
                      </c:pt>
                      <c:pt idx="13">
                        <c:v>PLANLAMA VE LOJİSTİK YÖNETİMİ</c:v>
                      </c:pt>
                      <c:pt idx="14">
                        <c:v>ÇEKME SİSTEMİ &amp; MALZEME YÖNETİMİ</c:v>
                      </c:pt>
                      <c:pt idx="15">
                        <c:v>BAKIM YÖNETİMİ</c:v>
                      </c:pt>
                      <c:pt idx="16">
                        <c:v>OTONOM BAKIM</c:v>
                      </c:pt>
                      <c:pt idx="17">
                        <c:v>HENKATEN YÖNETİMİ</c:v>
                      </c:pt>
                    </c:strCache>
                  </c:strRef>
                </c:cat>
                <c:val>
                  <c:numRef>
                    <c:extLst>
                      <c:ext uri="{02D57815-91ED-43cb-92C2-25804820EDAC}">
                        <c15:formulaRef>
                          <c15:sqref>'8'!$F$13:$F$30</c15:sqref>
                        </c15:formulaRef>
                      </c:ext>
                    </c:extLst>
                    <c:numCache>
                      <c:formatCode>General</c:formatCode>
                      <c:ptCount val="18"/>
                    </c:numCache>
                  </c:numRef>
                </c:val>
                <c:extLst>
                  <c:ext xmlns:c16="http://schemas.microsoft.com/office/drawing/2014/chart" uri="{C3380CC4-5D6E-409C-BE32-E72D297353CC}">
                    <c16:uniqueId val="{00000001-DDB1-405E-81C9-5F019DF56038}"/>
                  </c:ext>
                </c:extLst>
              </c15:ser>
            </c15:filteredRadarSeries>
          </c:ext>
        </c:extLst>
      </c:radarChart>
      <c:radarChart>
        <c:radarStyle val="marker"/>
        <c:varyColors val="0"/>
        <c:ser>
          <c:idx val="3"/>
          <c:order val="3"/>
          <c:spPr>
            <a:ln w="25400" cap="rnd">
              <a:solidFill>
                <a:schemeClr val="accent1"/>
              </a:solidFill>
              <a:prstDash val="sysDash"/>
              <a:round/>
            </a:ln>
            <a:effectLst/>
          </c:spPr>
          <c:marker>
            <c:symbol val="circle"/>
            <c:size val="5"/>
            <c:spPr>
              <a:noFill/>
              <a:ln w="12700" cap="rnd">
                <a:solidFill>
                  <a:srgbClr val="002060"/>
                </a:solidFill>
              </a:ln>
              <a:effectLst/>
            </c:spPr>
          </c:marker>
          <c:cat>
            <c:strRef>
              <c:f>'8'!$D$13:$D$30</c:f>
              <c:strCache>
                <c:ptCount val="18"/>
                <c:pt idx="0">
                  <c:v>YÖNETİMİN KATILIMI VE DESTEĞİ</c:v>
                </c:pt>
                <c:pt idx="1">
                  <c:v>DEĞER &amp; MALİYET YÖNETİMİ</c:v>
                </c:pt>
                <c:pt idx="2">
                  <c:v>EĞİTİM VE IK YÖNETİMİ</c:v>
                </c:pt>
                <c:pt idx="3">
                  <c:v>GÜVENLİK &amp; ERGONOMİ</c:v>
                </c:pt>
                <c:pt idx="4">
                  <c:v>5S</c:v>
                </c:pt>
                <c:pt idx="5">
                  <c:v>GÖRSEL FABRİKA</c:v>
                </c:pt>
                <c:pt idx="6">
                  <c:v>STANDART İŞ</c:v>
                </c:pt>
                <c:pt idx="7">
                  <c:v>İYİLEŞTİRME / GELİŞİM</c:v>
                </c:pt>
                <c:pt idx="8">
                  <c:v>SMED -C/O AZALTMA</c:v>
                </c:pt>
                <c:pt idx="9">
                  <c:v>TEK PARÇA AKIŞI / ESNEK İŞ GÜCÜ</c:v>
                </c:pt>
                <c:pt idx="10">
                  <c:v>ÜRETİM -PROSES UYGULAMALARI</c:v>
                </c:pt>
                <c:pt idx="11">
                  <c:v>SAHA YÖNETİMİ &amp; LİDERLİK</c:v>
                </c:pt>
                <c:pt idx="12">
                  <c:v>KALİTE İYİLEŞTİRME</c:v>
                </c:pt>
                <c:pt idx="13">
                  <c:v>PLANLAMA VE LOJİSTİK YÖNETİMİ</c:v>
                </c:pt>
                <c:pt idx="14">
                  <c:v>ÇEKME SİSTEMİ &amp; MALZEME YÖNETİMİ</c:v>
                </c:pt>
                <c:pt idx="15">
                  <c:v>BAKIM YÖNETİMİ</c:v>
                </c:pt>
                <c:pt idx="16">
                  <c:v>OTONOM BAKIM</c:v>
                </c:pt>
                <c:pt idx="17">
                  <c:v>HENKATEN YÖNETİMİ</c:v>
                </c:pt>
              </c:strCache>
            </c:strRef>
          </c:cat>
          <c:val>
            <c:numRef>
              <c:f>'8'!$H$13:$H$30</c:f>
              <c:numCache>
                <c:formatCode>0</c:formatCode>
                <c:ptCount val="18"/>
                <c:pt idx="0">
                  <c:v>24.5</c:v>
                </c:pt>
                <c:pt idx="1">
                  <c:v>24.5</c:v>
                </c:pt>
                <c:pt idx="2">
                  <c:v>17.5</c:v>
                </c:pt>
                <c:pt idx="3">
                  <c:v>15.5</c:v>
                </c:pt>
                <c:pt idx="4">
                  <c:v>8</c:v>
                </c:pt>
                <c:pt idx="5">
                  <c:v>3</c:v>
                </c:pt>
                <c:pt idx="6">
                  <c:v>17</c:v>
                </c:pt>
                <c:pt idx="7">
                  <c:v>0</c:v>
                </c:pt>
                <c:pt idx="8">
                  <c:v>16.5</c:v>
                </c:pt>
                <c:pt idx="9">
                  <c:v>11.5</c:v>
                </c:pt>
                <c:pt idx="10">
                  <c:v>16.5</c:v>
                </c:pt>
                <c:pt idx="11">
                  <c:v>19.5</c:v>
                </c:pt>
                <c:pt idx="12">
                  <c:v>24</c:v>
                </c:pt>
                <c:pt idx="13">
                  <c:v>41.5</c:v>
                </c:pt>
                <c:pt idx="14">
                  <c:v>13</c:v>
                </c:pt>
                <c:pt idx="15">
                  <c:v>20</c:v>
                </c:pt>
                <c:pt idx="16">
                  <c:v>23</c:v>
                </c:pt>
                <c:pt idx="17">
                  <c:v>14</c:v>
                </c:pt>
              </c:numCache>
            </c:numRef>
          </c:val>
          <c:extLst>
            <c:ext xmlns:c16="http://schemas.microsoft.com/office/drawing/2014/chart" uri="{C3380CC4-5D6E-409C-BE32-E72D297353CC}">
              <c16:uniqueId val="{00000003-DDB1-405E-81C9-5F019DF56038}"/>
            </c:ext>
          </c:extLst>
        </c:ser>
        <c:dLbls>
          <c:showLegendKey val="0"/>
          <c:showVal val="0"/>
          <c:showCatName val="0"/>
          <c:showSerName val="0"/>
          <c:showPercent val="0"/>
          <c:showBubbleSize val="0"/>
        </c:dLbls>
        <c:axId val="89601135"/>
        <c:axId val="89607375"/>
        <c:extLst>
          <c:ext xmlns:c15="http://schemas.microsoft.com/office/drawing/2012/chart" uri="{02D57815-91ED-43cb-92C2-25804820EDAC}">
            <c15:filteredRadarSeries>
              <c15: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'8'!$D$13:$D$30</c15:sqref>
                        </c15:formulaRef>
                      </c:ext>
                    </c:extLst>
                    <c:strCache>
                      <c:ptCount val="18"/>
                      <c:pt idx="0">
                        <c:v>YÖNETİMİN KATILIMI VE DESTEĞİ</c:v>
                      </c:pt>
                      <c:pt idx="1">
                        <c:v>DEĞER &amp; MALİYET YÖNETİMİ</c:v>
                      </c:pt>
                      <c:pt idx="2">
                        <c:v>EĞİTİM VE IK YÖNETİMİ</c:v>
                      </c:pt>
                      <c:pt idx="3">
                        <c:v>GÜVENLİK &amp; ERGONOMİ</c:v>
                      </c:pt>
                      <c:pt idx="4">
                        <c:v>5S</c:v>
                      </c:pt>
                      <c:pt idx="5">
                        <c:v>GÖRSEL FABRİKA</c:v>
                      </c:pt>
                      <c:pt idx="6">
                        <c:v>STANDART İŞ</c:v>
                      </c:pt>
                      <c:pt idx="7">
                        <c:v>İYİLEŞTİRME / GELİŞİM</c:v>
                      </c:pt>
                      <c:pt idx="8">
                        <c:v>SMED -C/O AZALTMA</c:v>
                      </c:pt>
                      <c:pt idx="9">
                        <c:v>TEK PARÇA AKIŞI / ESNEK İŞ GÜCÜ</c:v>
                      </c:pt>
                      <c:pt idx="10">
                        <c:v>ÜRETİM -PROSES UYGULAMALARI</c:v>
                      </c:pt>
                      <c:pt idx="11">
                        <c:v>SAHA YÖNETİMİ &amp; LİDERLİK</c:v>
                      </c:pt>
                      <c:pt idx="12">
                        <c:v>KALİTE İYİLEŞTİRME</c:v>
                      </c:pt>
                      <c:pt idx="13">
                        <c:v>PLANLAMA VE LOJİSTİK YÖNETİMİ</c:v>
                      </c:pt>
                      <c:pt idx="14">
                        <c:v>ÇEKME SİSTEMİ &amp; MALZEME YÖNETİMİ</c:v>
                      </c:pt>
                      <c:pt idx="15">
                        <c:v>BAKIM YÖNETİMİ</c:v>
                      </c:pt>
                      <c:pt idx="16">
                        <c:v>OTONOM BAKIM</c:v>
                      </c:pt>
                      <c:pt idx="17">
                        <c:v>HENKATEN YÖNETİMİ</c:v>
                      </c:pt>
                    </c:strCache>
                  </c:strRef>
                </c:cat>
                <c:val>
                  <c:numRef>
                    <c:extLst>
                      <c:ext uri="{02D57815-91ED-43cb-92C2-25804820EDAC}">
                        <c15:formulaRef>
                          <c15:sqref>'8'!$E$13:$E$30</c15:sqref>
                        </c15:formulaRef>
                      </c:ext>
                    </c:extLst>
                    <c:numCache>
                      <c:formatCode>General</c:formatCode>
                      <c:ptCount val="18"/>
                    </c:numCache>
                  </c:numRef>
                </c:val>
                <c:extLst>
                  <c:ext xmlns:c16="http://schemas.microsoft.com/office/drawing/2014/chart" uri="{C3380CC4-5D6E-409C-BE32-E72D297353CC}">
                    <c16:uniqueId val="{00000000-DDB1-405E-81C9-5F019DF56038}"/>
                  </c:ext>
                </c:extLst>
              </c15:ser>
            </c15:filteredRadarSeries>
          </c:ext>
        </c:extLst>
      </c:radarChart>
      <c:catAx>
        <c:axId val="89601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tr-TR"/>
          </a:p>
        </c:txPr>
        <c:crossAx val="89607375"/>
        <c:crosses val="autoZero"/>
        <c:auto val="1"/>
        <c:lblAlgn val="ctr"/>
        <c:lblOffset val="100"/>
        <c:noMultiLvlLbl val="0"/>
      </c:catAx>
      <c:valAx>
        <c:axId val="89607375"/>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tr-TR"/>
          </a:p>
        </c:txPr>
        <c:crossAx val="8960113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50" b="1"/>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'A-1'!$D$10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'A-1'!$C$11:$C$20</c:f>
              <c:strCache>
                <c:ptCount val="10"/>
                <c:pt idx="0">
                  <c:v>DESTEK</c:v>
                </c:pt>
                <c:pt idx="1">
                  <c:v>FARKINDALIK OLUŞTURMA</c:v>
                </c:pt>
                <c:pt idx="2">
                  <c:v>ORGANİZASYON</c:v>
                </c:pt>
                <c:pt idx="3">
                  <c:v>RAPORLAMA</c:v>
                </c:pt>
                <c:pt idx="4">
                  <c:v>VİZYON</c:v>
                </c:pt>
                <c:pt idx="5">
                  <c:v>HEDEFLER - STRATEJİLER</c:v>
                </c:pt>
                <c:pt idx="6">
                  <c:v>5 ANA MİSYON</c:v>
                </c:pt>
                <c:pt idx="7">
                  <c:v>KATILIMCI YÖNETİM</c:v>
                </c:pt>
                <c:pt idx="8">
                  <c:v>HEDEF TAKİP</c:v>
                </c:pt>
                <c:pt idx="9">
                  <c:v>ANALİZ</c:v>
                </c:pt>
              </c:strCache>
            </c:strRef>
          </c:cat>
          <c:val>
            <c:numRef>
              <c:f>'A-1'!$D$11:$D$20</c:f>
              <c:numCache>
                <c:formatCode>General</c:formatCode>
                <c:ptCount val="10"/>
                <c:pt idx="0">
                  <c:v>1</c:v>
                </c:pt>
                <c:pt idx="1">
                  <c:v>0</c:v>
                </c:pt>
                <c:pt idx="2">
                  <c:v>1</c:v>
                </c:pt>
                <c:pt idx="3">
                  <c:v>1</c:v>
                </c:pt>
                <c:pt idx="4">
                  <c:v>1</c:v>
                </c:pt>
                <c:pt idx="5">
                  <c:v>0</c:v>
                </c:pt>
                <c:pt idx="6">
                  <c:v>1</c:v>
                </c:pt>
                <c:pt idx="7">
                  <c:v>1</c:v>
                </c:pt>
                <c:pt idx="8">
                  <c:v>2</c:v>
                </c:pt>
                <c:pt idx="9">
                  <c:v>3</c:v>
                </c:pt>
              </c:numCache>
            </c:numRef>
          </c:val>
          <c:extLst>
            <c:ext xmlns:c16="http://schemas.microsoft.com/office/drawing/2014/chart" uri="{C3380CC4-5D6E-409C-BE32-E72D297353CC}">
              <c16:uniqueId val="{00000000-F9AC-48D9-BA8B-1915948EBA3F}"/>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no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'A-2'!$D$10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'A-2'!$C$11:$C$20</c:f>
              <c:strCache>
                <c:ptCount val="10"/>
                <c:pt idx="0">
                  <c:v>DESTEK</c:v>
                </c:pt>
                <c:pt idx="1">
                  <c:v>FARKINDALIK OLUŞTURMA</c:v>
                </c:pt>
                <c:pt idx="2">
                  <c:v>ORGANİZASYON</c:v>
                </c:pt>
                <c:pt idx="3">
                  <c:v>RAPORLAMA</c:v>
                </c:pt>
                <c:pt idx="4">
                  <c:v>VİZYON</c:v>
                </c:pt>
                <c:pt idx="5">
                  <c:v>HEDEFLER - STRATEJİLER</c:v>
                </c:pt>
                <c:pt idx="6">
                  <c:v>5 ANA MİSYON</c:v>
                </c:pt>
                <c:pt idx="7">
                  <c:v>KATILIMCI YÖNETİM</c:v>
                </c:pt>
                <c:pt idx="8">
                  <c:v>HEDEF TAKİP</c:v>
                </c:pt>
                <c:pt idx="9">
                  <c:v>ANALİZ</c:v>
                </c:pt>
              </c:strCache>
            </c:strRef>
          </c:cat>
          <c:val>
            <c:numRef>
              <c:f>'A-2'!$D$11:$D$20</c:f>
              <c:numCache>
                <c:formatCode>General</c:formatCode>
                <c:ptCount val="10"/>
                <c:pt idx="0">
                  <c:v>1</c:v>
                </c:pt>
                <c:pt idx="1">
                  <c:v>0</c:v>
                </c:pt>
                <c:pt idx="2">
                  <c:v>1</c:v>
                </c:pt>
                <c:pt idx="3">
                  <c:v>1</c:v>
                </c:pt>
                <c:pt idx="4">
                  <c:v>1</c:v>
                </c:pt>
                <c:pt idx="5">
                  <c:v>0</c:v>
                </c:pt>
                <c:pt idx="6">
                  <c:v>1</c:v>
                </c:pt>
                <c:pt idx="7">
                  <c:v>1</c:v>
                </c:pt>
                <c:pt idx="8">
                  <c:v>2</c:v>
                </c:pt>
                <c:pt idx="9">
                  <c:v>3</c:v>
                </c:pt>
              </c:numCache>
            </c:numRef>
          </c:val>
          <c:extLst>
            <c:ext xmlns:c16="http://schemas.microsoft.com/office/drawing/2014/chart" uri="{C3380CC4-5D6E-409C-BE32-E72D297353CC}">
              <c16:uniqueId val="{00000000-1DB8-4A77-8110-B116F8F0D64D}"/>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'B-1'!$D$10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'B-1'!$C$11:$C$18</c:f>
              <c:strCache>
                <c:ptCount val="8"/>
                <c:pt idx="0">
                  <c:v>KAR ODAKLILIK</c:v>
                </c:pt>
                <c:pt idx="1">
                  <c:v>OPERASYONEL MALİTET</c:v>
                </c:pt>
                <c:pt idx="2">
                  <c:v>6 BÜYÜK KAYIP</c:v>
                </c:pt>
                <c:pt idx="3">
                  <c:v>ENDİREK MALZEME</c:v>
                </c:pt>
                <c:pt idx="4">
                  <c:v>DEĞER YÖNETİMİ</c:v>
                </c:pt>
                <c:pt idx="5">
                  <c:v>DAR BOĞAZ ANALİZLERİ</c:v>
                </c:pt>
                <c:pt idx="6">
                  <c:v>AKSİYON YÖNETİMİ</c:v>
                </c:pt>
                <c:pt idx="7">
                  <c:v>DEĞER YETKİNLİK GELİŞİMİ</c:v>
                </c:pt>
              </c:strCache>
            </c:strRef>
          </c:cat>
          <c:val>
            <c:numRef>
              <c:f>'B-1'!$D$11:$D$18</c:f>
              <c:numCache>
                <c:formatCode>General</c:formatCode>
                <c:ptCount val="8"/>
                <c:pt idx="0">
                  <c:v>3</c:v>
                </c:pt>
                <c:pt idx="1">
                  <c:v>2</c:v>
                </c:pt>
                <c:pt idx="2">
                  <c:v>0</c:v>
                </c:pt>
                <c:pt idx="3">
                  <c:v>2</c:v>
                </c:pt>
                <c:pt idx="4">
                  <c:v>0</c:v>
                </c:pt>
                <c:pt idx="5">
                  <c:v>1</c:v>
                </c:pt>
                <c:pt idx="6">
                  <c:v>1</c:v>
                </c:pt>
                <c:pt idx="7">
                  <c:v>0</c:v>
                </c:pt>
              </c:numCache>
            </c:numRef>
          </c:val>
          <c:extLst>
            <c:ext xmlns:c16="http://schemas.microsoft.com/office/drawing/2014/chart" uri="{C3380CC4-5D6E-409C-BE32-E72D297353CC}">
              <c16:uniqueId val="{00000000-227A-442F-B199-0EFDF2529703}"/>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'B-2'!$D$10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'B-2'!$C$11:$C$18</c:f>
              <c:strCache>
                <c:ptCount val="8"/>
                <c:pt idx="0">
                  <c:v>KAR ODAKLILIK</c:v>
                </c:pt>
                <c:pt idx="1">
                  <c:v>OPERASYONEL MALİTET</c:v>
                </c:pt>
                <c:pt idx="2">
                  <c:v>6 BÜYÜK KAYIP</c:v>
                </c:pt>
                <c:pt idx="3">
                  <c:v>ENDİREK MALZEME</c:v>
                </c:pt>
                <c:pt idx="4">
                  <c:v>DEĞER YÖNETİMİ</c:v>
                </c:pt>
                <c:pt idx="5">
                  <c:v>DAR BOĞAZ ANALİZLERİ</c:v>
                </c:pt>
                <c:pt idx="6">
                  <c:v>AKSİYON YÖNETİMİ</c:v>
                </c:pt>
                <c:pt idx="7">
                  <c:v>DEĞER YETKİNLİK GELİŞİMİ</c:v>
                </c:pt>
              </c:strCache>
            </c:strRef>
          </c:cat>
          <c:val>
            <c:numRef>
              <c:f>'B-2'!$D$11:$D$18</c:f>
              <c:numCache>
                <c:formatCode>General</c:formatCode>
                <c:ptCount val="8"/>
                <c:pt idx="0">
                  <c:v>3</c:v>
                </c:pt>
                <c:pt idx="1">
                  <c:v>2</c:v>
                </c:pt>
                <c:pt idx="2">
                  <c:v>0</c:v>
                </c:pt>
                <c:pt idx="3">
                  <c:v>2</c:v>
                </c:pt>
                <c:pt idx="4">
                  <c:v>0</c:v>
                </c:pt>
                <c:pt idx="5">
                  <c:v>1</c:v>
                </c:pt>
                <c:pt idx="6">
                  <c:v>1</c:v>
                </c:pt>
                <c:pt idx="7">
                  <c:v>0</c:v>
                </c:pt>
              </c:numCache>
            </c:numRef>
          </c:val>
          <c:extLst>
            <c:ext xmlns:c16="http://schemas.microsoft.com/office/drawing/2014/chart" uri="{C3380CC4-5D6E-409C-BE32-E72D297353CC}">
              <c16:uniqueId val="{00000000-C8D9-4587-B9D0-22AC34F84595}"/>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'C-1'!$D$10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'C-1'!$C$11:$C$19</c:f>
              <c:strCache>
                <c:ptCount val="9"/>
                <c:pt idx="0">
                  <c:v>GELİŞİM HEDEFLERİ</c:v>
                </c:pt>
                <c:pt idx="1">
                  <c:v>EĞİTİM YÖNETİMİ</c:v>
                </c:pt>
                <c:pt idx="2">
                  <c:v>EĞİTİM YÖNETİMİ</c:v>
                </c:pt>
                <c:pt idx="3">
                  <c:v>YETKİNLİK GELİŞİMİ</c:v>
                </c:pt>
                <c:pt idx="4">
                  <c:v>BECERİ MATRİSLERİ</c:v>
                </c:pt>
                <c:pt idx="5">
                  <c:v>NİTELİKİK TAKİBİ</c:v>
                </c:pt>
                <c:pt idx="6">
                  <c:v>LİDER GELİŞİMİ</c:v>
                </c:pt>
                <c:pt idx="7">
                  <c:v>TEK NOKTA EĞİTİMLERİ</c:v>
                </c:pt>
                <c:pt idx="8">
                  <c:v>UYGULAMALI EĞİTİMLER</c:v>
                </c:pt>
              </c:strCache>
            </c:strRef>
          </c:cat>
          <c:val>
            <c:numRef>
              <c:f>'C-1'!$D$11:$D$19</c:f>
              <c:numCache>
                <c:formatCode>General</c:formatCode>
                <c:ptCount val="9"/>
                <c:pt idx="0">
                  <c:v>3</c:v>
                </c:pt>
                <c:pt idx="1">
                  <c:v>1</c:v>
                </c:pt>
                <c:pt idx="2">
                  <c:v>1</c:v>
                </c:pt>
                <c:pt idx="3">
                  <c:v>0</c:v>
                </c:pt>
                <c:pt idx="4">
                  <c:v>0</c:v>
                </c:pt>
                <c:pt idx="5">
                  <c:v>0</c:v>
                </c:pt>
                <c:pt idx="6">
                  <c:v>0</c:v>
                </c:pt>
                <c:pt idx="7">
                  <c:v>1</c:v>
                </c:pt>
                <c:pt idx="8">
                  <c:v>1</c:v>
                </c:pt>
              </c:numCache>
            </c:numRef>
          </c:val>
          <c:extLst>
            <c:ext xmlns:c16="http://schemas.microsoft.com/office/drawing/2014/chart" uri="{C3380CC4-5D6E-409C-BE32-E72D297353CC}">
              <c16:uniqueId val="{00000000-9E9E-47A7-AEE4-EEDA793EFE12}"/>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'C-2'!$D$10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'C-2'!$C$11:$C$19</c:f>
              <c:strCache>
                <c:ptCount val="9"/>
                <c:pt idx="0">
                  <c:v>GELİŞİM HEDEFLERİ</c:v>
                </c:pt>
                <c:pt idx="1">
                  <c:v>EĞİTİM YÖNETİMİ</c:v>
                </c:pt>
                <c:pt idx="2">
                  <c:v>EĞİTİM YÖNETİMİ</c:v>
                </c:pt>
                <c:pt idx="3">
                  <c:v>YETKİNLİK GELİŞİMİ</c:v>
                </c:pt>
                <c:pt idx="4">
                  <c:v>BECERİ MATRİSLERİ</c:v>
                </c:pt>
                <c:pt idx="5">
                  <c:v>NİTELİKİK TAKİBİ</c:v>
                </c:pt>
                <c:pt idx="6">
                  <c:v>LİDER GELİŞİMİ</c:v>
                </c:pt>
                <c:pt idx="7">
                  <c:v>TEK NOKTA EĞİTİMLERİ</c:v>
                </c:pt>
                <c:pt idx="8">
                  <c:v>UYGULAMALI EĞİTİMLER</c:v>
                </c:pt>
              </c:strCache>
            </c:strRef>
          </c:cat>
          <c:val>
            <c:numRef>
              <c:f>'C-2'!$D$11:$D$19</c:f>
              <c:numCache>
                <c:formatCode>General</c:formatCode>
                <c:ptCount val="9"/>
                <c:pt idx="0">
                  <c:v>3</c:v>
                </c:pt>
                <c:pt idx="1">
                  <c:v>1</c:v>
                </c:pt>
                <c:pt idx="2">
                  <c:v>1</c:v>
                </c:pt>
                <c:pt idx="3">
                  <c:v>0</c:v>
                </c:pt>
                <c:pt idx="4">
                  <c:v>0</c:v>
                </c:pt>
                <c:pt idx="5">
                  <c:v>0</c:v>
                </c:pt>
                <c:pt idx="6">
                  <c:v>0</c:v>
                </c:pt>
                <c:pt idx="7">
                  <c:v>1</c:v>
                </c:pt>
                <c:pt idx="8">
                  <c:v>1</c:v>
                </c:pt>
              </c:numCache>
            </c:numRef>
          </c:val>
          <c:extLst>
            <c:ext xmlns:c16="http://schemas.microsoft.com/office/drawing/2014/chart" uri="{C3380CC4-5D6E-409C-BE32-E72D297353CC}">
              <c16:uniqueId val="{00000000-6794-4109-8FCB-95A253B7BDFE}"/>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'D-1'!$D$10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'D-1'!$C$11:$C$22</c:f>
              <c:strCache>
                <c:ptCount val="12"/>
                <c:pt idx="0">
                  <c:v>FAALİYET YÖNETİMİ</c:v>
                </c:pt>
                <c:pt idx="1">
                  <c:v>FAALİYET TAKVİMİ</c:v>
                </c:pt>
                <c:pt idx="2">
                  <c:v>İSG HEDEFLERİ</c:v>
                </c:pt>
                <c:pt idx="3">
                  <c:v>İSG KAIZEN</c:v>
                </c:pt>
                <c:pt idx="4">
                  <c:v>GÜVENLİK</c:v>
                </c:pt>
                <c:pt idx="5">
                  <c:v>RİSK ANALİZLERİ</c:v>
                </c:pt>
                <c:pt idx="6">
                  <c:v>SAHA DEVRİYESİ</c:v>
                </c:pt>
                <c:pt idx="7">
                  <c:v>LİDERİN ROLÜ</c:v>
                </c:pt>
                <c:pt idx="8">
                  <c:v>ERGONOMİ</c:v>
                </c:pt>
                <c:pt idx="9">
                  <c:v>ERGONOMİ İYİLEŞTİRME</c:v>
                </c:pt>
                <c:pt idx="10">
                  <c:v>TEHLİKE TAHMİN</c:v>
                </c:pt>
                <c:pt idx="11">
                  <c:v>STOP 6</c:v>
                </c:pt>
              </c:strCache>
            </c:strRef>
          </c:cat>
          <c:val>
            <c:numRef>
              <c:f>'D-1'!$D$11:$D$22</c:f>
              <c:numCache>
                <c:formatCode>General</c:formatCode>
                <c:ptCount val="12"/>
                <c:pt idx="0">
                  <c:v>1</c:v>
                </c:pt>
                <c:pt idx="1">
                  <c:v>1</c:v>
                </c:pt>
                <c:pt idx="2">
                  <c:v>1</c:v>
                </c:pt>
                <c:pt idx="3">
                  <c:v>0</c:v>
                </c:pt>
                <c:pt idx="4">
                  <c:v>1</c:v>
                </c:pt>
                <c:pt idx="5">
                  <c:v>2</c:v>
                </c:pt>
                <c:pt idx="6">
                  <c:v>2</c:v>
                </c:pt>
                <c:pt idx="7">
                  <c:v>0</c:v>
                </c:pt>
                <c:pt idx="8">
                  <c:v>0</c:v>
                </c:pt>
                <c:pt idx="9">
                  <c:v>1</c:v>
                </c:pt>
                <c:pt idx="10">
                  <c:v>0</c:v>
                </c:pt>
                <c:pt idx="11">
                  <c:v>1</c:v>
                </c:pt>
              </c:numCache>
            </c:numRef>
          </c:val>
          <c:extLst>
            <c:ext xmlns:c16="http://schemas.microsoft.com/office/drawing/2014/chart" uri="{C3380CC4-5D6E-409C-BE32-E72D297353CC}">
              <c16:uniqueId val="{00000000-17A9-4A73-80F5-AE3D5D83FA5C}"/>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'D-2'!$D$10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round/>
              </a:ln>
              <a:effectLst/>
            </c:spPr>
          </c:marker>
          <c:cat>
            <c:strRef>
              <c:f>'D-2'!$C$11:$C$22</c:f>
              <c:strCache>
                <c:ptCount val="12"/>
                <c:pt idx="0">
                  <c:v>FAALİYET YÖNETİMİ</c:v>
                </c:pt>
                <c:pt idx="1">
                  <c:v>FAALİYET TAKVİMİ</c:v>
                </c:pt>
                <c:pt idx="2">
                  <c:v>İSG HEDEFLERİ</c:v>
                </c:pt>
                <c:pt idx="3">
                  <c:v>İSG KAIZEN</c:v>
                </c:pt>
                <c:pt idx="4">
                  <c:v>GÜVENLİK</c:v>
                </c:pt>
                <c:pt idx="5">
                  <c:v>RİSK ANALİZLERİ</c:v>
                </c:pt>
                <c:pt idx="6">
                  <c:v>SAHA DEVRİYESİ</c:v>
                </c:pt>
                <c:pt idx="7">
                  <c:v>LİDERİN ROLÜ</c:v>
                </c:pt>
                <c:pt idx="8">
                  <c:v>ERGONOMİ</c:v>
                </c:pt>
                <c:pt idx="9">
                  <c:v>ERGONOMİ İYİLEŞTİRME</c:v>
                </c:pt>
                <c:pt idx="10">
                  <c:v>TEHLİKE TAHMİN</c:v>
                </c:pt>
                <c:pt idx="11">
                  <c:v>STOP 6</c:v>
                </c:pt>
              </c:strCache>
            </c:strRef>
          </c:cat>
          <c:val>
            <c:numRef>
              <c:f>'D-2'!$D$11:$D$22</c:f>
              <c:numCache>
                <c:formatCode>General</c:formatCode>
                <c:ptCount val="12"/>
                <c:pt idx="0">
                  <c:v>1</c:v>
                </c:pt>
                <c:pt idx="1">
                  <c:v>1</c:v>
                </c:pt>
                <c:pt idx="2">
                  <c:v>1</c:v>
                </c:pt>
                <c:pt idx="3">
                  <c:v>0</c:v>
                </c:pt>
                <c:pt idx="4">
                  <c:v>1</c:v>
                </c:pt>
                <c:pt idx="5">
                  <c:v>2</c:v>
                </c:pt>
                <c:pt idx="6">
                  <c:v>2</c:v>
                </c:pt>
                <c:pt idx="7">
                  <c:v>0</c:v>
                </c:pt>
                <c:pt idx="8">
                  <c:v>0</c:v>
                </c:pt>
                <c:pt idx="9">
                  <c:v>1</c:v>
                </c:pt>
                <c:pt idx="10">
                  <c:v>0</c:v>
                </c:pt>
                <c:pt idx="11">
                  <c:v>1</c:v>
                </c:pt>
              </c:numCache>
            </c:numRef>
          </c:val>
          <c:extLst>
            <c:ext xmlns:c16="http://schemas.microsoft.com/office/drawing/2014/chart" uri="{C3380CC4-5D6E-409C-BE32-E72D297353CC}">
              <c16:uniqueId val="{00000000-F33A-46E2-8AC2-298C055B03DB}"/>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'D-3'!$D$10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'D-3'!$C$11:$C$22</c:f>
              <c:strCache>
                <c:ptCount val="12"/>
                <c:pt idx="0">
                  <c:v>FAALİYET YÖNETİMİ</c:v>
                </c:pt>
                <c:pt idx="1">
                  <c:v>FAALİYET TAKVİMİ</c:v>
                </c:pt>
                <c:pt idx="2">
                  <c:v>İSG HEDEFLERİ</c:v>
                </c:pt>
                <c:pt idx="3">
                  <c:v>İSG KAIZEN</c:v>
                </c:pt>
                <c:pt idx="4">
                  <c:v>GÜVENLİK</c:v>
                </c:pt>
                <c:pt idx="5">
                  <c:v>RİSK ANALİZLERİ</c:v>
                </c:pt>
                <c:pt idx="6">
                  <c:v>SAHA DEVRİYESİ</c:v>
                </c:pt>
                <c:pt idx="7">
                  <c:v>LİDERİN ROLÜ</c:v>
                </c:pt>
                <c:pt idx="8">
                  <c:v>ERGONOMİ</c:v>
                </c:pt>
                <c:pt idx="9">
                  <c:v>ERGONOMİ İYİLEŞTİRME</c:v>
                </c:pt>
                <c:pt idx="10">
                  <c:v>TEHLİKE TAHMİN</c:v>
                </c:pt>
                <c:pt idx="11">
                  <c:v>STOP 6</c:v>
                </c:pt>
              </c:strCache>
            </c:strRef>
          </c:cat>
          <c:val>
            <c:numRef>
              <c:f>'D-3'!$D$11:$D$22</c:f>
              <c:numCache>
                <c:formatCode>General</c:formatCode>
                <c:ptCount val="12"/>
                <c:pt idx="0">
                  <c:v>1</c:v>
                </c:pt>
                <c:pt idx="1">
                  <c:v>1</c:v>
                </c:pt>
                <c:pt idx="2">
                  <c:v>1</c:v>
                </c:pt>
                <c:pt idx="3">
                  <c:v>0</c:v>
                </c:pt>
                <c:pt idx="4">
                  <c:v>1</c:v>
                </c:pt>
                <c:pt idx="5">
                  <c:v>2</c:v>
                </c:pt>
                <c:pt idx="6">
                  <c:v>2</c:v>
                </c:pt>
                <c:pt idx="7">
                  <c:v>0</c:v>
                </c:pt>
                <c:pt idx="8">
                  <c:v>0</c:v>
                </c:pt>
                <c:pt idx="9">
                  <c:v>1</c:v>
                </c:pt>
                <c:pt idx="10">
                  <c:v>0</c:v>
                </c:pt>
                <c:pt idx="11">
                  <c:v>1</c:v>
                </c:pt>
              </c:numCache>
            </c:numRef>
          </c:val>
          <c:extLst>
            <c:ext xmlns:c16="http://schemas.microsoft.com/office/drawing/2014/chart" uri="{C3380CC4-5D6E-409C-BE32-E72D297353CC}">
              <c16:uniqueId val="{00000000-235C-4EB9-8020-40E5EB1B1397}"/>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'E-1'!$D$10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'E-1'!$C$11:$C$19</c:f>
              <c:strCache>
                <c:ptCount val="9"/>
                <c:pt idx="0">
                  <c:v>ORGANİZASYON</c:v>
                </c:pt>
                <c:pt idx="1">
                  <c:v>FAALİYET YÖNETİMİ</c:v>
                </c:pt>
                <c:pt idx="2">
                  <c:v>DENETİM RAPORLAMA</c:v>
                </c:pt>
                <c:pt idx="3">
                  <c:v>UYGULAMA</c:v>
                </c:pt>
                <c:pt idx="4">
                  <c:v>UYGULAMA</c:v>
                </c:pt>
                <c:pt idx="5">
                  <c:v>GELİŞTİRME</c:v>
                </c:pt>
                <c:pt idx="6">
                  <c:v>STANDARDİZASYON</c:v>
                </c:pt>
                <c:pt idx="7">
                  <c:v>GÜVENLİK FONKSİYONU</c:v>
                </c:pt>
                <c:pt idx="8">
                  <c:v>KORUMA VE GELİŞTİRME</c:v>
                </c:pt>
              </c:strCache>
            </c:strRef>
          </c:cat>
          <c:val>
            <c:numRef>
              <c:f>'E-1'!$D$11:$D$19</c:f>
              <c:numCache>
                <c:formatCode>General</c:formatCode>
                <c:ptCount val="9"/>
                <c:pt idx="0">
                  <c:v>0</c:v>
                </c:pt>
                <c:pt idx="1">
                  <c:v>0</c:v>
                </c:pt>
                <c:pt idx="2">
                  <c:v>0</c:v>
                </c:pt>
                <c:pt idx="3">
                  <c:v>2</c:v>
                </c:pt>
                <c:pt idx="4">
                  <c:v>0</c:v>
                </c:pt>
                <c:pt idx="5">
                  <c:v>2</c:v>
                </c:pt>
                <c:pt idx="6">
                  <c:v>0</c:v>
                </c:pt>
                <c:pt idx="7">
                  <c:v>0</c:v>
                </c:pt>
                <c:pt idx="8">
                  <c:v>0</c:v>
                </c:pt>
              </c:numCache>
            </c:numRef>
          </c:val>
          <c:extLst>
            <c:ext xmlns:c16="http://schemas.microsoft.com/office/drawing/2014/chart" uri="{C3380CC4-5D6E-409C-BE32-E72D297353CC}">
              <c16:uniqueId val="{00000000-4B13-4EAF-8BE1-711D38601201}"/>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'E-2'!$D$10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'E-2'!$C$11:$C$19</c:f>
              <c:strCache>
                <c:ptCount val="9"/>
                <c:pt idx="0">
                  <c:v>ORGANİZASYON</c:v>
                </c:pt>
                <c:pt idx="1">
                  <c:v>FAALİYET YÖNETİMİ</c:v>
                </c:pt>
                <c:pt idx="2">
                  <c:v>DENETİM RAPORLAMA</c:v>
                </c:pt>
                <c:pt idx="3">
                  <c:v>UYGULAMA</c:v>
                </c:pt>
                <c:pt idx="4">
                  <c:v>UYGULAMA</c:v>
                </c:pt>
                <c:pt idx="5">
                  <c:v>GELİŞTİRME</c:v>
                </c:pt>
                <c:pt idx="6">
                  <c:v>STANDARDİZASYON</c:v>
                </c:pt>
                <c:pt idx="7">
                  <c:v>GÜVENLİK FONKSİYONU</c:v>
                </c:pt>
                <c:pt idx="8">
                  <c:v>KORUMA VE GELİŞTİRME</c:v>
                </c:pt>
              </c:strCache>
            </c:strRef>
          </c:cat>
          <c:val>
            <c:numRef>
              <c:f>'E-2'!$D$11:$D$19</c:f>
              <c:numCache>
                <c:formatCode>General</c:formatCode>
                <c:ptCount val="9"/>
                <c:pt idx="0">
                  <c:v>0</c:v>
                </c:pt>
                <c:pt idx="1">
                  <c:v>0</c:v>
                </c:pt>
                <c:pt idx="2">
                  <c:v>0</c:v>
                </c:pt>
                <c:pt idx="3">
                  <c:v>2</c:v>
                </c:pt>
                <c:pt idx="4">
                  <c:v>0</c:v>
                </c:pt>
                <c:pt idx="5">
                  <c:v>2</c:v>
                </c:pt>
                <c:pt idx="6">
                  <c:v>0</c:v>
                </c:pt>
                <c:pt idx="7">
                  <c:v>0</c:v>
                </c:pt>
                <c:pt idx="8">
                  <c:v>0</c:v>
                </c:pt>
              </c:numCache>
            </c:numRef>
          </c:val>
          <c:extLst>
            <c:ext xmlns:c16="http://schemas.microsoft.com/office/drawing/2014/chart" uri="{C3380CC4-5D6E-409C-BE32-E72D297353CC}">
              <c16:uniqueId val="{00000000-3C39-4E70-9296-F4130D48275F}"/>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'F-1'!$D$10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'F-1'!$C$11:$C$18</c:f>
              <c:strCache>
                <c:ptCount val="8"/>
                <c:pt idx="0">
                  <c:v>MUDA ELİMİNASYON</c:v>
                </c:pt>
                <c:pt idx="1">
                  <c:v>ALAN TANIMLARI</c:v>
                </c:pt>
                <c:pt idx="2">
                  <c:v>GÖRSEL STANDARTLAR</c:v>
                </c:pt>
                <c:pt idx="3">
                  <c:v>PROBLEMİN GÖRSELLİĞİ</c:v>
                </c:pt>
                <c:pt idx="4">
                  <c:v>GÖRSEL KALİTE</c:v>
                </c:pt>
                <c:pt idx="5">
                  <c:v>GÖRSEL YÖNETİM</c:v>
                </c:pt>
                <c:pt idx="6">
                  <c:v>PANO YÖNETİMİ</c:v>
                </c:pt>
                <c:pt idx="7">
                  <c:v>GÖRSEL KONTROL ARAÇLARI</c:v>
                </c:pt>
              </c:strCache>
            </c:strRef>
          </c:cat>
          <c:val>
            <c:numRef>
              <c:f>'F-1'!$D$11:$D$18</c:f>
              <c:numCache>
                <c:formatCode>General</c:formatCode>
                <c:ptCount val="8"/>
                <c:pt idx="0">
                  <c:v>0</c:v>
                </c:pt>
                <c:pt idx="1">
                  <c:v>1</c:v>
                </c:pt>
                <c:pt idx="2">
                  <c:v>0</c:v>
                </c:pt>
                <c:pt idx="3">
                  <c:v>0</c:v>
                </c:pt>
                <c:pt idx="4">
                  <c:v>0</c:v>
                </c:pt>
                <c:pt idx="5">
                  <c:v>0</c:v>
                </c:pt>
                <c:pt idx="6">
                  <c:v>0</c:v>
                </c:pt>
                <c:pt idx="7">
                  <c:v>0</c:v>
                </c:pt>
              </c:numCache>
            </c:numRef>
          </c:val>
          <c:extLst>
            <c:ext xmlns:c16="http://schemas.microsoft.com/office/drawing/2014/chart" uri="{C3380CC4-5D6E-409C-BE32-E72D297353CC}">
              <c16:uniqueId val="{00000000-B76D-4B96-B3EE-C1AD034F5950}"/>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'F-2'!$D$10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'F-2'!$C$11:$C$18</c:f>
              <c:strCache>
                <c:ptCount val="8"/>
                <c:pt idx="0">
                  <c:v>MUDA ELİMİNASYON</c:v>
                </c:pt>
                <c:pt idx="1">
                  <c:v>ALAN TANIMLARI</c:v>
                </c:pt>
                <c:pt idx="2">
                  <c:v>GÖRSEL STANDARTLAR</c:v>
                </c:pt>
                <c:pt idx="3">
                  <c:v>PROBLEMİN GÖRSELLİĞİ</c:v>
                </c:pt>
                <c:pt idx="4">
                  <c:v>GÖRSEL KALİTE</c:v>
                </c:pt>
                <c:pt idx="5">
                  <c:v>GÖRSEL YÖNETİM</c:v>
                </c:pt>
                <c:pt idx="6">
                  <c:v>PANO YÖNETİMİ</c:v>
                </c:pt>
                <c:pt idx="7">
                  <c:v>GÖRSEL KONTROL ARAÇLARI</c:v>
                </c:pt>
              </c:strCache>
            </c:strRef>
          </c:cat>
          <c:val>
            <c:numRef>
              <c:f>'F-2'!$D$11:$D$18</c:f>
              <c:numCache>
                <c:formatCode>General</c:formatCode>
                <c:ptCount val="8"/>
                <c:pt idx="0">
                  <c:v>0</c:v>
                </c:pt>
                <c:pt idx="1">
                  <c:v>1</c:v>
                </c:pt>
                <c:pt idx="2">
                  <c:v>0</c:v>
                </c:pt>
                <c:pt idx="3">
                  <c:v>0</c:v>
                </c:pt>
                <c:pt idx="4">
                  <c:v>0</c:v>
                </c:pt>
                <c:pt idx="5">
                  <c:v>0</c:v>
                </c:pt>
                <c:pt idx="6">
                  <c:v>0</c:v>
                </c:pt>
                <c:pt idx="7">
                  <c:v>0</c:v>
                </c:pt>
              </c:numCache>
            </c:numRef>
          </c:val>
          <c:extLst>
            <c:ext xmlns:c16="http://schemas.microsoft.com/office/drawing/2014/chart" uri="{C3380CC4-5D6E-409C-BE32-E72D297353CC}">
              <c16:uniqueId val="{00000000-84D0-4685-AE8A-21ACED1E1A78}"/>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'G-1'!$D$10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'G-1'!$C$11:$C$18</c:f>
              <c:strCache>
                <c:ptCount val="8"/>
                <c:pt idx="0">
                  <c:v>STANDART İŞ</c:v>
                </c:pt>
                <c:pt idx="1">
                  <c:v>WIP STANDARDİZASYONU</c:v>
                </c:pt>
                <c:pt idx="2">
                  <c:v>ÇOKLU BECERİ</c:v>
                </c:pt>
                <c:pt idx="3">
                  <c:v>BİRİM İŞ</c:v>
                </c:pt>
                <c:pt idx="4">
                  <c:v>ANORMAL DURUM STANDARTLARI</c:v>
                </c:pt>
                <c:pt idx="5">
                  <c:v>S/W FONKSİYONU</c:v>
                </c:pt>
                <c:pt idx="6">
                  <c:v>S/W DENETİMLERİ</c:v>
                </c:pt>
                <c:pt idx="7">
                  <c:v>3M ANALİZLERİ</c:v>
                </c:pt>
              </c:strCache>
            </c:strRef>
          </c:cat>
          <c:val>
            <c:numRef>
              <c:f>'G-1'!$D$11:$D$18</c:f>
              <c:numCache>
                <c:formatCode>General</c:formatCode>
                <c:ptCount val="8"/>
                <c:pt idx="0">
                  <c:v>0</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0-AFBE-41EA-9768-68280684E8D2}"/>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'G-2'!$D$10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'G-2'!$C$11:$C$18</c:f>
              <c:strCache>
                <c:ptCount val="8"/>
                <c:pt idx="0">
                  <c:v>STANDART İŞ</c:v>
                </c:pt>
                <c:pt idx="1">
                  <c:v>WIP STANDARDİZASYONU</c:v>
                </c:pt>
                <c:pt idx="2">
                  <c:v>ÇOKLU BECERİ</c:v>
                </c:pt>
                <c:pt idx="3">
                  <c:v>BİRİM İŞ</c:v>
                </c:pt>
                <c:pt idx="4">
                  <c:v>ANORMAL DURUM STANDARTLARI</c:v>
                </c:pt>
                <c:pt idx="5">
                  <c:v>S/W FONKSİYONU</c:v>
                </c:pt>
                <c:pt idx="6">
                  <c:v>S/W DENETİMLERİ</c:v>
                </c:pt>
                <c:pt idx="7">
                  <c:v>3M ANALİZLERİ</c:v>
                </c:pt>
              </c:strCache>
            </c:strRef>
          </c:cat>
          <c:val>
            <c:numRef>
              <c:f>'G-2'!$D$11:$D$18</c:f>
              <c:numCache>
                <c:formatCode>General</c:formatCode>
                <c:ptCount val="8"/>
                <c:pt idx="0">
                  <c:v>0</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0-94D1-46BE-AEB9-C6BA7FE89FDA}"/>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'H-1'!$D$10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'H-1'!$C$11:$C$23</c:f>
              <c:strCache>
                <c:ptCount val="13"/>
                <c:pt idx="0">
                  <c:v>ÖNERİ SİSTEMİ</c:v>
                </c:pt>
                <c:pt idx="1">
                  <c:v>TAKTİR VE TANIMA</c:v>
                </c:pt>
                <c:pt idx="2">
                  <c:v>KAMPANYA</c:v>
                </c:pt>
                <c:pt idx="3">
                  <c:v>KAİZEN HEDEFLERİ</c:v>
                </c:pt>
                <c:pt idx="4">
                  <c:v>KAİZEN HEDEFLERİ</c:v>
                </c:pt>
                <c:pt idx="5">
                  <c:v>KAİZEN EĞİTİMLERİ</c:v>
                </c:pt>
                <c:pt idx="6">
                  <c:v>7 TEMEL İSRAF</c:v>
                </c:pt>
                <c:pt idx="7">
                  <c:v>YAYGINLAŞTIRMA</c:v>
                </c:pt>
                <c:pt idx="8">
                  <c:v>TAKIM ÇALIŞMASI</c:v>
                </c:pt>
                <c:pt idx="9">
                  <c:v>PDCA</c:v>
                </c:pt>
                <c:pt idx="10">
                  <c:v>PROBLEM ÇÖZME</c:v>
                </c:pt>
                <c:pt idx="11">
                  <c:v>PROBLEM ÇÖZME</c:v>
                </c:pt>
                <c:pt idx="12">
                  <c:v>STANDARDİZASYON</c:v>
                </c:pt>
              </c:strCache>
            </c:strRef>
          </c:cat>
          <c:val>
            <c:numRef>
              <c:f>'H-1'!$D$11:$D$23</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6C27-4D78-8F1B-6884123763A8}"/>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'H-2'!$D$10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'H-2'!$C$11:$C$23</c:f>
              <c:strCache>
                <c:ptCount val="13"/>
                <c:pt idx="0">
                  <c:v>ÖNERİ SİSTEMİ</c:v>
                </c:pt>
                <c:pt idx="1">
                  <c:v>TAKTİR VE TANIMA</c:v>
                </c:pt>
                <c:pt idx="2">
                  <c:v>KAMPANYA</c:v>
                </c:pt>
                <c:pt idx="3">
                  <c:v>KAİZEN HEDEFLERİ</c:v>
                </c:pt>
                <c:pt idx="4">
                  <c:v>KAİZEN HEDEFLERİ</c:v>
                </c:pt>
                <c:pt idx="5">
                  <c:v>KAİZEN EĞİTİMLERİ</c:v>
                </c:pt>
                <c:pt idx="6">
                  <c:v>7 TEMEL İSRAF</c:v>
                </c:pt>
                <c:pt idx="7">
                  <c:v>YAYGINLAŞTIRMA</c:v>
                </c:pt>
                <c:pt idx="8">
                  <c:v>TAKIM ÇALIŞMASI</c:v>
                </c:pt>
                <c:pt idx="9">
                  <c:v>PDCA</c:v>
                </c:pt>
                <c:pt idx="10">
                  <c:v>PROBLEM ÇÖZME</c:v>
                </c:pt>
                <c:pt idx="11">
                  <c:v>PROBLEM ÇÖZME</c:v>
                </c:pt>
                <c:pt idx="12">
                  <c:v>STANDARDİZASYON</c:v>
                </c:pt>
              </c:strCache>
            </c:strRef>
          </c:cat>
          <c:val>
            <c:numRef>
              <c:f>'H-2'!$D$11:$D$23</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B5E1-4B95-84D6-A5D074C94488}"/>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'H-3'!$D$10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'H-3'!$C$11:$C$23</c:f>
              <c:strCache>
                <c:ptCount val="13"/>
                <c:pt idx="0">
                  <c:v>ÖNERİ SİSTEMİ</c:v>
                </c:pt>
                <c:pt idx="1">
                  <c:v>TAKTİR VE TANIMA</c:v>
                </c:pt>
                <c:pt idx="2">
                  <c:v>KAMPANYA</c:v>
                </c:pt>
                <c:pt idx="3">
                  <c:v>KAİZEN HEDEFLERİ</c:v>
                </c:pt>
                <c:pt idx="4">
                  <c:v>KAİZEN HEDEFLERİ</c:v>
                </c:pt>
                <c:pt idx="5">
                  <c:v>KAİZEN EĞİTİMLERİ</c:v>
                </c:pt>
                <c:pt idx="6">
                  <c:v>7 TEMEL İSRAF</c:v>
                </c:pt>
                <c:pt idx="7">
                  <c:v>YAYGINLAŞTIRMA</c:v>
                </c:pt>
                <c:pt idx="8">
                  <c:v>TAKIM ÇALIŞMASI</c:v>
                </c:pt>
                <c:pt idx="9">
                  <c:v>PDCA</c:v>
                </c:pt>
                <c:pt idx="10">
                  <c:v>PROBLEM ÇÖZME</c:v>
                </c:pt>
                <c:pt idx="11">
                  <c:v>PROBLEM ÇÖZME</c:v>
                </c:pt>
                <c:pt idx="12">
                  <c:v>STANDARDİZASYON</c:v>
                </c:pt>
              </c:strCache>
            </c:strRef>
          </c:cat>
          <c:val>
            <c:numRef>
              <c:f>'H-3'!$D$11:$D$23</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8FDB-4C98-9920-5A6E1697A4BB}"/>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'I-1'!$D$10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'I-1'!$C$11:$C$16</c:f>
              <c:strCache>
                <c:ptCount val="6"/>
                <c:pt idx="0">
                  <c:v>PLANSIZ DURUŞ</c:v>
                </c:pt>
                <c:pt idx="1">
                  <c:v>SMED ANALİZİ</c:v>
                </c:pt>
                <c:pt idx="2">
                  <c:v>İÇ-DIŞ SÜRE AZALTMA</c:v>
                </c:pt>
                <c:pt idx="3">
                  <c:v>SMED EĞİTİMLERİ</c:v>
                </c:pt>
                <c:pt idx="4">
                  <c:v>5S</c:v>
                </c:pt>
                <c:pt idx="5">
                  <c:v>ETKNİLK TAKİBİ</c:v>
                </c:pt>
              </c:strCache>
            </c:strRef>
          </c:cat>
          <c:val>
            <c:numRef>
              <c:f>'I-1'!$D$11:$D$16</c:f>
              <c:numCache>
                <c:formatCode>General</c:formatCode>
                <c:ptCount val="6"/>
                <c:pt idx="0">
                  <c:v>1</c:v>
                </c:pt>
                <c:pt idx="1">
                  <c:v>0</c:v>
                </c:pt>
                <c:pt idx="2">
                  <c:v>1</c:v>
                </c:pt>
                <c:pt idx="3">
                  <c:v>0</c:v>
                </c:pt>
                <c:pt idx="4">
                  <c:v>1</c:v>
                </c:pt>
                <c:pt idx="5">
                  <c:v>1</c:v>
                </c:pt>
              </c:numCache>
            </c:numRef>
          </c:val>
          <c:extLst>
            <c:ext xmlns:c16="http://schemas.microsoft.com/office/drawing/2014/chart" uri="{C3380CC4-5D6E-409C-BE32-E72D297353CC}">
              <c16:uniqueId val="{00000000-3D5B-40FC-AA49-FABA38196E61}"/>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'I-2'!$D$10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'I-2'!$C$11:$C$17</c:f>
              <c:strCache>
                <c:ptCount val="7"/>
                <c:pt idx="0">
                  <c:v>PLANSIZ DURUŞ</c:v>
                </c:pt>
                <c:pt idx="1">
                  <c:v>SMED ANALİZİ</c:v>
                </c:pt>
                <c:pt idx="2">
                  <c:v>İÇ-DIŞ SÜRE AZALTMA</c:v>
                </c:pt>
                <c:pt idx="3">
                  <c:v>SMED EĞİTİMLERİ</c:v>
                </c:pt>
                <c:pt idx="4">
                  <c:v>5S</c:v>
                </c:pt>
                <c:pt idx="5">
                  <c:v>ETKNİLK TAKİBİ</c:v>
                </c:pt>
                <c:pt idx="6">
                  <c:v>STANDARDİZASYON</c:v>
                </c:pt>
              </c:strCache>
            </c:strRef>
          </c:cat>
          <c:val>
            <c:numRef>
              <c:f>'I-2'!$D$11:$D$17</c:f>
              <c:numCache>
                <c:formatCode>General</c:formatCode>
                <c:ptCount val="7"/>
                <c:pt idx="0">
                  <c:v>1</c:v>
                </c:pt>
                <c:pt idx="1">
                  <c:v>0</c:v>
                </c:pt>
                <c:pt idx="2">
                  <c:v>1</c:v>
                </c:pt>
                <c:pt idx="3">
                  <c:v>0</c:v>
                </c:pt>
                <c:pt idx="4">
                  <c:v>1</c:v>
                </c:pt>
                <c:pt idx="5">
                  <c:v>1</c:v>
                </c:pt>
                <c:pt idx="6">
                  <c:v>1</c:v>
                </c:pt>
              </c:numCache>
            </c:numRef>
          </c:val>
          <c:extLst>
            <c:ext xmlns:c16="http://schemas.microsoft.com/office/drawing/2014/chart" uri="{C3380CC4-5D6E-409C-BE32-E72D297353CC}">
              <c16:uniqueId val="{00000000-777C-40A1-92B1-09E4DA569496}"/>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'J-1'!$D$10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'J-1'!$C$11:$C$19</c:f>
              <c:strCache>
                <c:ptCount val="9"/>
                <c:pt idx="0">
                  <c:v>TAKT ZAMANI</c:v>
                </c:pt>
                <c:pt idx="1">
                  <c:v>HAT HÜCRE TASARIMI</c:v>
                </c:pt>
                <c:pt idx="2">
                  <c:v>HAT HÜCRE TASARIMI</c:v>
                </c:pt>
                <c:pt idx="3">
                  <c:v>ÜRÜN ESNEKLİĞİ</c:v>
                </c:pt>
                <c:pt idx="4">
                  <c:v>TEK PARÇA AKIŞI</c:v>
                </c:pt>
                <c:pt idx="5">
                  <c:v>WIP STANDARDİZASYONU</c:v>
                </c:pt>
                <c:pt idx="6">
                  <c:v>ANORMAL DURUM</c:v>
                </c:pt>
                <c:pt idx="7">
                  <c:v>İŞ YÜKÜ DENGELEME</c:v>
                </c:pt>
                <c:pt idx="8">
                  <c:v>İŞ BİRLEŞTİRME</c:v>
                </c:pt>
              </c:strCache>
            </c:strRef>
          </c:cat>
          <c:val>
            <c:numRef>
              <c:f>'J-1'!$D$11:$D$19</c:f>
              <c:numCache>
                <c:formatCode>General</c:formatCode>
                <c:ptCount val="9"/>
                <c:pt idx="0">
                  <c:v>0</c:v>
                </c:pt>
                <c:pt idx="1">
                  <c:v>2</c:v>
                </c:pt>
                <c:pt idx="2">
                  <c:v>1</c:v>
                </c:pt>
                <c:pt idx="3">
                  <c:v>3</c:v>
                </c:pt>
                <c:pt idx="4">
                  <c:v>0</c:v>
                </c:pt>
                <c:pt idx="5">
                  <c:v>0</c:v>
                </c:pt>
                <c:pt idx="6">
                  <c:v>0</c:v>
                </c:pt>
                <c:pt idx="7">
                  <c:v>0</c:v>
                </c:pt>
                <c:pt idx="8">
                  <c:v>0</c:v>
                </c:pt>
              </c:numCache>
            </c:numRef>
          </c:val>
          <c:extLst>
            <c:ext xmlns:c16="http://schemas.microsoft.com/office/drawing/2014/chart" uri="{C3380CC4-5D6E-409C-BE32-E72D297353CC}">
              <c16:uniqueId val="{00000000-FF25-4145-8C4B-4811684ED57A}"/>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'J-2'!$D$10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'J-2'!$C$11:$C$19</c:f>
              <c:strCache>
                <c:ptCount val="9"/>
                <c:pt idx="0">
                  <c:v>TAKT ZAMANI</c:v>
                </c:pt>
                <c:pt idx="1">
                  <c:v>HAT HÜCRE TASARIMI</c:v>
                </c:pt>
                <c:pt idx="2">
                  <c:v>HAT HÜCRE TASARIMI</c:v>
                </c:pt>
                <c:pt idx="3">
                  <c:v>ÜRÜN ESNEKLİĞİ</c:v>
                </c:pt>
                <c:pt idx="4">
                  <c:v>TEK PARÇA AKIŞI</c:v>
                </c:pt>
                <c:pt idx="5">
                  <c:v>WIP STANDARDİZASYONU</c:v>
                </c:pt>
                <c:pt idx="6">
                  <c:v>ANORMAL DURUM</c:v>
                </c:pt>
                <c:pt idx="7">
                  <c:v>İŞ YÜKÜ DENGELEME</c:v>
                </c:pt>
                <c:pt idx="8">
                  <c:v>İŞ BİRLEŞTİRME</c:v>
                </c:pt>
              </c:strCache>
            </c:strRef>
          </c:cat>
          <c:val>
            <c:numRef>
              <c:f>'J-2'!$D$11:$D$19</c:f>
              <c:numCache>
                <c:formatCode>General</c:formatCode>
                <c:ptCount val="9"/>
                <c:pt idx="0">
                  <c:v>0</c:v>
                </c:pt>
                <c:pt idx="1">
                  <c:v>2</c:v>
                </c:pt>
                <c:pt idx="2">
                  <c:v>1</c:v>
                </c:pt>
                <c:pt idx="3">
                  <c:v>3</c:v>
                </c:pt>
                <c:pt idx="4">
                  <c:v>0</c:v>
                </c:pt>
                <c:pt idx="5">
                  <c:v>0</c:v>
                </c:pt>
                <c:pt idx="6">
                  <c:v>0</c:v>
                </c:pt>
                <c:pt idx="7">
                  <c:v>0</c:v>
                </c:pt>
                <c:pt idx="8">
                  <c:v>0</c:v>
                </c:pt>
              </c:numCache>
            </c:numRef>
          </c:val>
          <c:extLst>
            <c:ext xmlns:c16="http://schemas.microsoft.com/office/drawing/2014/chart" uri="{C3380CC4-5D6E-409C-BE32-E72D297353CC}">
              <c16:uniqueId val="{00000000-8CD3-47A7-B06E-54CFB79FE5CA}"/>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'K-1'!$D$10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'K-1'!$C$11:$C$19</c:f>
              <c:strCache>
                <c:ptCount val="9"/>
                <c:pt idx="0">
                  <c:v>PERFORMANS TAKİBİ</c:v>
                </c:pt>
                <c:pt idx="1">
                  <c:v>SAATLİK TAKİP</c:v>
                </c:pt>
                <c:pt idx="2">
                  <c:v>KAPASİTE ANALİZLERİ</c:v>
                </c:pt>
                <c:pt idx="3">
                  <c:v>PROSES 5S</c:v>
                </c:pt>
                <c:pt idx="4">
                  <c:v>KÜÇÜK LOT</c:v>
                </c:pt>
                <c:pt idx="5">
                  <c:v>ÇEKME YAPISI</c:v>
                </c:pt>
                <c:pt idx="6">
                  <c:v>ÜRETİM KANBAN</c:v>
                </c:pt>
                <c:pt idx="7">
                  <c:v>SEVİYELNDİRME</c:v>
                </c:pt>
                <c:pt idx="8">
                  <c:v>SEVİYELNDİRME</c:v>
                </c:pt>
              </c:strCache>
            </c:strRef>
          </c:cat>
          <c:val>
            <c:numRef>
              <c:f>'K-1'!$D$11:$D$19</c:f>
              <c:numCache>
                <c:formatCode>General</c:formatCode>
                <c:ptCount val="9"/>
                <c:pt idx="0">
                  <c:v>2</c:v>
                </c:pt>
                <c:pt idx="1">
                  <c:v>0</c:v>
                </c:pt>
                <c:pt idx="2">
                  <c:v>0</c:v>
                </c:pt>
                <c:pt idx="3">
                  <c:v>1</c:v>
                </c:pt>
                <c:pt idx="4">
                  <c:v>2</c:v>
                </c:pt>
                <c:pt idx="5">
                  <c:v>0</c:v>
                </c:pt>
                <c:pt idx="6">
                  <c:v>0</c:v>
                </c:pt>
                <c:pt idx="7">
                  <c:v>3</c:v>
                </c:pt>
                <c:pt idx="8">
                  <c:v>0</c:v>
                </c:pt>
              </c:numCache>
            </c:numRef>
          </c:val>
          <c:extLst>
            <c:ext xmlns:c16="http://schemas.microsoft.com/office/drawing/2014/chart" uri="{C3380CC4-5D6E-409C-BE32-E72D297353CC}">
              <c16:uniqueId val="{00000000-B468-461B-9D08-6DC5C5F0ABBD}"/>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'K-2'!$D$10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'K-2'!$C$11:$C$19</c:f>
              <c:strCache>
                <c:ptCount val="9"/>
                <c:pt idx="0">
                  <c:v>PERFORMANS TAKİBİ</c:v>
                </c:pt>
                <c:pt idx="1">
                  <c:v>SAATLİK TAKİP</c:v>
                </c:pt>
                <c:pt idx="2">
                  <c:v>KAPASİTE ANALİZLERİ</c:v>
                </c:pt>
                <c:pt idx="3">
                  <c:v>PROSES 5S</c:v>
                </c:pt>
                <c:pt idx="4">
                  <c:v>KÜÇÜK LOT</c:v>
                </c:pt>
                <c:pt idx="5">
                  <c:v>ÇEKME YAPISI</c:v>
                </c:pt>
                <c:pt idx="6">
                  <c:v>ÜRETİM KANBAN</c:v>
                </c:pt>
                <c:pt idx="7">
                  <c:v>SEVİYELNDİRME</c:v>
                </c:pt>
                <c:pt idx="8">
                  <c:v>SEVİYELNDİRME</c:v>
                </c:pt>
              </c:strCache>
            </c:strRef>
          </c:cat>
          <c:val>
            <c:numRef>
              <c:f>'K-2'!$D$11:$D$19</c:f>
              <c:numCache>
                <c:formatCode>General</c:formatCode>
                <c:ptCount val="9"/>
                <c:pt idx="0">
                  <c:v>2</c:v>
                </c:pt>
                <c:pt idx="1">
                  <c:v>0</c:v>
                </c:pt>
                <c:pt idx="2">
                  <c:v>0</c:v>
                </c:pt>
                <c:pt idx="3">
                  <c:v>1</c:v>
                </c:pt>
                <c:pt idx="4">
                  <c:v>2</c:v>
                </c:pt>
                <c:pt idx="5">
                  <c:v>0</c:v>
                </c:pt>
                <c:pt idx="6">
                  <c:v>0</c:v>
                </c:pt>
                <c:pt idx="7">
                  <c:v>3</c:v>
                </c:pt>
                <c:pt idx="8">
                  <c:v>0</c:v>
                </c:pt>
              </c:numCache>
            </c:numRef>
          </c:val>
          <c:extLst>
            <c:ext xmlns:c16="http://schemas.microsoft.com/office/drawing/2014/chart" uri="{C3380CC4-5D6E-409C-BE32-E72D297353CC}">
              <c16:uniqueId val="{00000000-433C-47DC-9190-5D4DAAD0F042}"/>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'L-1'!$D$10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'L-1'!$C$11:$C$19</c:f>
              <c:strCache>
                <c:ptCount val="9"/>
                <c:pt idx="0">
                  <c:v>SAHA ORGANİZASYONU</c:v>
                </c:pt>
                <c:pt idx="1">
                  <c:v>VARDİYA BİLGİ YÖNETİMİ</c:v>
                </c:pt>
                <c:pt idx="2">
                  <c:v>HAT ALAN YÖNETİMİ</c:v>
                </c:pt>
                <c:pt idx="3">
                  <c:v>SABAH TOPLANTILARI</c:v>
                </c:pt>
                <c:pt idx="4">
                  <c:v>LİDER YETKİNLİĞİ</c:v>
                </c:pt>
                <c:pt idx="5">
                  <c:v>ÜRETİM ŞARTLARI</c:v>
                </c:pt>
                <c:pt idx="6">
                  <c:v>KÖK NEDEN ANALİZLERİ</c:v>
                </c:pt>
                <c:pt idx="7">
                  <c:v>PDCA</c:v>
                </c:pt>
                <c:pt idx="8">
                  <c:v>İSRAF YÖNETİMİ</c:v>
                </c:pt>
              </c:strCache>
            </c:strRef>
          </c:cat>
          <c:val>
            <c:numRef>
              <c:f>'L-1'!$D$11:$D$19</c:f>
              <c:numCache>
                <c:formatCode>General</c:formatCode>
                <c:ptCount val="9"/>
                <c:pt idx="0">
                  <c:v>2</c:v>
                </c:pt>
                <c:pt idx="1">
                  <c:v>2</c:v>
                </c:pt>
                <c:pt idx="2">
                  <c:v>0</c:v>
                </c:pt>
                <c:pt idx="3">
                  <c:v>2</c:v>
                </c:pt>
                <c:pt idx="4">
                  <c:v>2</c:v>
                </c:pt>
                <c:pt idx="5">
                  <c:v>1</c:v>
                </c:pt>
                <c:pt idx="6">
                  <c:v>1</c:v>
                </c:pt>
                <c:pt idx="7">
                  <c:v>0</c:v>
                </c:pt>
                <c:pt idx="8">
                  <c:v>0</c:v>
                </c:pt>
              </c:numCache>
            </c:numRef>
          </c:val>
          <c:extLst>
            <c:ext xmlns:c16="http://schemas.microsoft.com/office/drawing/2014/chart" uri="{C3380CC4-5D6E-409C-BE32-E72D297353CC}">
              <c16:uniqueId val="{00000000-940E-43AD-93B8-1A173946BADC}"/>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'L-2'!$D$10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'L-2'!$C$11:$C$19</c:f>
              <c:strCache>
                <c:ptCount val="9"/>
                <c:pt idx="0">
                  <c:v>SAHA ORGANİZASYONU</c:v>
                </c:pt>
                <c:pt idx="1">
                  <c:v>VARDİYA BİLGİ YÖNETİMİ</c:v>
                </c:pt>
                <c:pt idx="2">
                  <c:v>HAT ALAN YÖNETİMİ</c:v>
                </c:pt>
                <c:pt idx="3">
                  <c:v>SABAH TOPLANTILARI</c:v>
                </c:pt>
                <c:pt idx="4">
                  <c:v>LİDER YETKİNLİĞİ</c:v>
                </c:pt>
                <c:pt idx="5">
                  <c:v>ÜRETİM ŞARTLARI</c:v>
                </c:pt>
                <c:pt idx="6">
                  <c:v>KÖK NEDEN ANALİZLERİ</c:v>
                </c:pt>
                <c:pt idx="7">
                  <c:v>PDCA</c:v>
                </c:pt>
                <c:pt idx="8">
                  <c:v>İSRAF YÖNETİMİ</c:v>
                </c:pt>
              </c:strCache>
            </c:strRef>
          </c:cat>
          <c:val>
            <c:numRef>
              <c:f>'L-2'!$D$11:$D$19</c:f>
              <c:numCache>
                <c:formatCode>General</c:formatCode>
                <c:ptCount val="9"/>
                <c:pt idx="0">
                  <c:v>2</c:v>
                </c:pt>
                <c:pt idx="1">
                  <c:v>2</c:v>
                </c:pt>
                <c:pt idx="2">
                  <c:v>0</c:v>
                </c:pt>
                <c:pt idx="3">
                  <c:v>2</c:v>
                </c:pt>
                <c:pt idx="4">
                  <c:v>2</c:v>
                </c:pt>
                <c:pt idx="5">
                  <c:v>1</c:v>
                </c:pt>
                <c:pt idx="6">
                  <c:v>1</c:v>
                </c:pt>
                <c:pt idx="7">
                  <c:v>0</c:v>
                </c:pt>
                <c:pt idx="8">
                  <c:v>0</c:v>
                </c:pt>
              </c:numCache>
            </c:numRef>
          </c:val>
          <c:extLst>
            <c:ext xmlns:c16="http://schemas.microsoft.com/office/drawing/2014/chart" uri="{C3380CC4-5D6E-409C-BE32-E72D297353CC}">
              <c16:uniqueId val="{00000000-F239-4582-A4DF-46FFD3A67C81}"/>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'M-1'!$D$10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'M-1'!$C$11:$C$21</c:f>
              <c:strCache>
                <c:ptCount val="11"/>
                <c:pt idx="0">
                  <c:v>KALİTE HEDEFLERİ</c:v>
                </c:pt>
                <c:pt idx="1">
                  <c:v>HATA TİPİ İYİLEŞTİRME</c:v>
                </c:pt>
                <c:pt idx="2">
                  <c:v>YETKİNLİK</c:v>
                </c:pt>
                <c:pt idx="3">
                  <c:v>YERİNDE KALİTE</c:v>
                </c:pt>
                <c:pt idx="4">
                  <c:v>İÇ MÜŞTERİ</c:v>
                </c:pt>
                <c:pt idx="5">
                  <c:v>POKA YOKE</c:v>
                </c:pt>
                <c:pt idx="6">
                  <c:v>LİDERİN SORUMLULUĞU</c:v>
                </c:pt>
                <c:pt idx="7">
                  <c:v>JKK</c:v>
                </c:pt>
                <c:pt idx="8">
                  <c:v>5K KALİTE YAPISI</c:v>
                </c:pt>
                <c:pt idx="9">
                  <c:v>REWORK AZALTMA</c:v>
                </c:pt>
                <c:pt idx="10">
                  <c:v>TEDARİKÇİ KALİTE</c:v>
                </c:pt>
              </c:strCache>
            </c:strRef>
          </c:cat>
          <c:val>
            <c:numRef>
              <c:f>'M-1'!$D$11:$D$21</c:f>
              <c:numCache>
                <c:formatCode>General</c:formatCode>
                <c:ptCount val="11"/>
                <c:pt idx="0">
                  <c:v>1</c:v>
                </c:pt>
                <c:pt idx="1">
                  <c:v>1</c:v>
                </c:pt>
                <c:pt idx="2">
                  <c:v>1</c:v>
                </c:pt>
                <c:pt idx="3">
                  <c:v>1</c:v>
                </c:pt>
                <c:pt idx="4">
                  <c:v>1</c:v>
                </c:pt>
                <c:pt idx="5">
                  <c:v>1</c:v>
                </c:pt>
                <c:pt idx="6">
                  <c:v>2</c:v>
                </c:pt>
                <c:pt idx="7">
                  <c:v>1</c:v>
                </c:pt>
                <c:pt idx="8">
                  <c:v>1</c:v>
                </c:pt>
                <c:pt idx="9">
                  <c:v>1</c:v>
                </c:pt>
                <c:pt idx="10">
                  <c:v>2</c:v>
                </c:pt>
              </c:numCache>
            </c:numRef>
          </c:val>
          <c:extLst>
            <c:ext xmlns:c16="http://schemas.microsoft.com/office/drawing/2014/chart" uri="{C3380CC4-5D6E-409C-BE32-E72D297353CC}">
              <c16:uniqueId val="{00000000-E33D-41F8-B9B7-F954419000F1}"/>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'M-2'!$D$10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'M-2'!$C$11:$C$21</c:f>
              <c:strCache>
                <c:ptCount val="11"/>
                <c:pt idx="0">
                  <c:v>KALİTE HEDEFLERİ</c:v>
                </c:pt>
                <c:pt idx="1">
                  <c:v>HATA TİPİ İYİLEŞTİRME</c:v>
                </c:pt>
                <c:pt idx="2">
                  <c:v>YETKİNLİK</c:v>
                </c:pt>
                <c:pt idx="3">
                  <c:v>YERİNDE KALİTE</c:v>
                </c:pt>
                <c:pt idx="4">
                  <c:v>İÇ MÜŞTERİ</c:v>
                </c:pt>
                <c:pt idx="5">
                  <c:v>POKA YOKE</c:v>
                </c:pt>
                <c:pt idx="6">
                  <c:v>LİDERİN SORUMLULUĞU</c:v>
                </c:pt>
                <c:pt idx="7">
                  <c:v>JKK</c:v>
                </c:pt>
                <c:pt idx="8">
                  <c:v>5K KALİTE YAPISI</c:v>
                </c:pt>
                <c:pt idx="9">
                  <c:v>REWORK AZALTMA</c:v>
                </c:pt>
                <c:pt idx="10">
                  <c:v>TEDARİKÇİ KALİTE</c:v>
                </c:pt>
              </c:strCache>
            </c:strRef>
          </c:cat>
          <c:val>
            <c:numRef>
              <c:f>'M-2'!$D$11:$D$21</c:f>
              <c:numCache>
                <c:formatCode>General</c:formatCode>
                <c:ptCount val="11"/>
                <c:pt idx="0">
                  <c:v>1</c:v>
                </c:pt>
                <c:pt idx="1">
                  <c:v>1</c:v>
                </c:pt>
                <c:pt idx="2">
                  <c:v>1</c:v>
                </c:pt>
                <c:pt idx="3">
                  <c:v>1</c:v>
                </c:pt>
                <c:pt idx="4">
                  <c:v>1</c:v>
                </c:pt>
                <c:pt idx="5">
                  <c:v>1</c:v>
                </c:pt>
                <c:pt idx="6">
                  <c:v>2</c:v>
                </c:pt>
                <c:pt idx="7">
                  <c:v>1</c:v>
                </c:pt>
                <c:pt idx="8">
                  <c:v>1</c:v>
                </c:pt>
                <c:pt idx="9">
                  <c:v>1</c:v>
                </c:pt>
                <c:pt idx="10">
                  <c:v>2</c:v>
                </c:pt>
              </c:numCache>
            </c:numRef>
          </c:val>
          <c:extLst>
            <c:ext xmlns:c16="http://schemas.microsoft.com/office/drawing/2014/chart" uri="{C3380CC4-5D6E-409C-BE32-E72D297353CC}">
              <c16:uniqueId val="{00000000-C1A1-4FFD-A2C3-F666FF1F86E6}"/>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'M-3'!$D$10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'M-3'!$C$11:$C$21</c:f>
              <c:strCache>
                <c:ptCount val="11"/>
                <c:pt idx="0">
                  <c:v>KALİTE HEDEFLERİ</c:v>
                </c:pt>
                <c:pt idx="1">
                  <c:v>HATA TİPİ İYİLEŞTİRME</c:v>
                </c:pt>
                <c:pt idx="2">
                  <c:v>YETKİNLİK</c:v>
                </c:pt>
                <c:pt idx="3">
                  <c:v>YERİNDE KALİTE</c:v>
                </c:pt>
                <c:pt idx="4">
                  <c:v>İÇ MÜŞTERİ</c:v>
                </c:pt>
                <c:pt idx="5">
                  <c:v>POKA YOKE</c:v>
                </c:pt>
                <c:pt idx="6">
                  <c:v>LİDERİN SORUMLULUĞU</c:v>
                </c:pt>
                <c:pt idx="7">
                  <c:v>JKK</c:v>
                </c:pt>
                <c:pt idx="8">
                  <c:v>5K KALİTE YAPISI</c:v>
                </c:pt>
                <c:pt idx="9">
                  <c:v>REWORK AZALTMA</c:v>
                </c:pt>
                <c:pt idx="10">
                  <c:v>TEDARİKÇİ KALİTE</c:v>
                </c:pt>
              </c:strCache>
            </c:strRef>
          </c:cat>
          <c:val>
            <c:numRef>
              <c:f>'M-3'!$D$11:$D$21</c:f>
              <c:numCache>
                <c:formatCode>General</c:formatCode>
                <c:ptCount val="11"/>
                <c:pt idx="0">
                  <c:v>1</c:v>
                </c:pt>
                <c:pt idx="1">
                  <c:v>1</c:v>
                </c:pt>
                <c:pt idx="2">
                  <c:v>1</c:v>
                </c:pt>
                <c:pt idx="3">
                  <c:v>1</c:v>
                </c:pt>
                <c:pt idx="4">
                  <c:v>1</c:v>
                </c:pt>
                <c:pt idx="5">
                  <c:v>1</c:v>
                </c:pt>
                <c:pt idx="6">
                  <c:v>2</c:v>
                </c:pt>
                <c:pt idx="7">
                  <c:v>1</c:v>
                </c:pt>
                <c:pt idx="8">
                  <c:v>1</c:v>
                </c:pt>
                <c:pt idx="9">
                  <c:v>1</c:v>
                </c:pt>
                <c:pt idx="10">
                  <c:v>2</c:v>
                </c:pt>
              </c:numCache>
            </c:numRef>
          </c:val>
          <c:extLst>
            <c:ext xmlns:c16="http://schemas.microsoft.com/office/drawing/2014/chart" uri="{C3380CC4-5D6E-409C-BE32-E72D297353CC}">
              <c16:uniqueId val="{00000000-33A0-42DA-8D6E-CD18B4D68C5E}"/>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'N-1'!$D$10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'N-1'!$C$11:$C$19</c:f>
              <c:strCache>
                <c:ptCount val="9"/>
                <c:pt idx="0">
                  <c:v>ANA HEDEFLER</c:v>
                </c:pt>
                <c:pt idx="1">
                  <c:v>SEVKİYAT PERFORMANSI</c:v>
                </c:pt>
                <c:pt idx="2">
                  <c:v>LEADTIME AZALTMA</c:v>
                </c:pt>
                <c:pt idx="3">
                  <c:v>PLANLAMA YAPISI</c:v>
                </c:pt>
                <c:pt idx="4">
                  <c:v>PLANLAMA PERFORMANSI</c:v>
                </c:pt>
                <c:pt idx="5">
                  <c:v>SEVİYELENDİRME</c:v>
                </c:pt>
                <c:pt idx="6">
                  <c:v>3M</c:v>
                </c:pt>
                <c:pt idx="7">
                  <c:v>SEVKİYAT TAKİP</c:v>
                </c:pt>
                <c:pt idx="8">
                  <c:v>ALAN YÖNETİMİ</c:v>
                </c:pt>
              </c:strCache>
            </c:strRef>
          </c:cat>
          <c:val>
            <c:numRef>
              <c:f>'N-1'!$D$11:$D$19</c:f>
              <c:numCache>
                <c:formatCode>General</c:formatCode>
                <c:ptCount val="9"/>
                <c:pt idx="0">
                  <c:v>2</c:v>
                </c:pt>
                <c:pt idx="1">
                  <c:v>2</c:v>
                </c:pt>
                <c:pt idx="2">
                  <c:v>2</c:v>
                </c:pt>
                <c:pt idx="3">
                  <c:v>3</c:v>
                </c:pt>
                <c:pt idx="4">
                  <c:v>2</c:v>
                </c:pt>
                <c:pt idx="5">
                  <c:v>1</c:v>
                </c:pt>
                <c:pt idx="6">
                  <c:v>2</c:v>
                </c:pt>
                <c:pt idx="7">
                  <c:v>3</c:v>
                </c:pt>
                <c:pt idx="8">
                  <c:v>2</c:v>
                </c:pt>
              </c:numCache>
            </c:numRef>
          </c:val>
          <c:extLst>
            <c:ext xmlns:c16="http://schemas.microsoft.com/office/drawing/2014/chart" uri="{C3380CC4-5D6E-409C-BE32-E72D297353CC}">
              <c16:uniqueId val="{00000000-7AC6-4B50-AF8A-EBADCCA2A95A}"/>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'N-2'!$D$10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'N-2'!$C$11:$C$19</c:f>
              <c:strCache>
                <c:ptCount val="9"/>
                <c:pt idx="0">
                  <c:v>ANA HEDEFLER</c:v>
                </c:pt>
                <c:pt idx="1">
                  <c:v>SEVKİYAT PERFORMANSI</c:v>
                </c:pt>
                <c:pt idx="2">
                  <c:v>LEADTIME AZALTMA</c:v>
                </c:pt>
                <c:pt idx="3">
                  <c:v>PLANLAMA YAPISI</c:v>
                </c:pt>
                <c:pt idx="4">
                  <c:v>PLANLAMA PERFORMANSI</c:v>
                </c:pt>
                <c:pt idx="5">
                  <c:v>SEVİYELENDİRME</c:v>
                </c:pt>
                <c:pt idx="6">
                  <c:v>3M</c:v>
                </c:pt>
                <c:pt idx="7">
                  <c:v>SEVKİYAT TAKİP</c:v>
                </c:pt>
                <c:pt idx="8">
                  <c:v>ALAN YÖNETİMİ</c:v>
                </c:pt>
              </c:strCache>
            </c:strRef>
          </c:cat>
          <c:val>
            <c:numRef>
              <c:f>'N-2'!$D$11:$D$19</c:f>
              <c:numCache>
                <c:formatCode>General</c:formatCode>
                <c:ptCount val="9"/>
                <c:pt idx="0">
                  <c:v>2</c:v>
                </c:pt>
                <c:pt idx="1">
                  <c:v>2</c:v>
                </c:pt>
                <c:pt idx="2">
                  <c:v>2</c:v>
                </c:pt>
                <c:pt idx="3">
                  <c:v>3</c:v>
                </c:pt>
                <c:pt idx="4">
                  <c:v>2</c:v>
                </c:pt>
                <c:pt idx="5">
                  <c:v>1</c:v>
                </c:pt>
                <c:pt idx="6">
                  <c:v>2</c:v>
                </c:pt>
                <c:pt idx="7">
                  <c:v>3</c:v>
                </c:pt>
                <c:pt idx="8">
                  <c:v>2</c:v>
                </c:pt>
              </c:numCache>
            </c:numRef>
          </c:val>
          <c:extLst>
            <c:ext xmlns:c16="http://schemas.microsoft.com/office/drawing/2014/chart" uri="{C3380CC4-5D6E-409C-BE32-E72D297353CC}">
              <c16:uniqueId val="{00000000-EDC9-4904-B377-CF79334AE098}"/>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'O-1'!$D$10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'O-1'!$C$11:$C$18</c:f>
              <c:strCache>
                <c:ptCount val="8"/>
                <c:pt idx="0">
                  <c:v>MALZEME BESLEME</c:v>
                </c:pt>
                <c:pt idx="1">
                  <c:v>HAT İÇİ BESLEME</c:v>
                </c:pt>
                <c:pt idx="2">
                  <c:v>ÇEKME SİSTEMİ</c:v>
                </c:pt>
                <c:pt idx="3">
                  <c:v>SUPERMARKET MODELİ</c:v>
                </c:pt>
                <c:pt idx="4">
                  <c:v>TAŞIMA KANBANI</c:v>
                </c:pt>
                <c:pt idx="5">
                  <c:v>İÇ LOJİSTİK</c:v>
                </c:pt>
                <c:pt idx="6">
                  <c:v>FIFO</c:v>
                </c:pt>
                <c:pt idx="7">
                  <c:v>DEPO YÖNETİMİ</c:v>
                </c:pt>
              </c:strCache>
            </c:strRef>
          </c:cat>
          <c:val>
            <c:numRef>
              <c:f>'O-1'!$D$11:$D$18</c:f>
              <c:numCache>
                <c:formatCode>General</c:formatCode>
                <c:ptCount val="8"/>
                <c:pt idx="0">
                  <c:v>0</c:v>
                </c:pt>
                <c:pt idx="1">
                  <c:v>0</c:v>
                </c:pt>
                <c:pt idx="2">
                  <c:v>0</c:v>
                </c:pt>
                <c:pt idx="3">
                  <c:v>0</c:v>
                </c:pt>
                <c:pt idx="4">
                  <c:v>0</c:v>
                </c:pt>
                <c:pt idx="5">
                  <c:v>1</c:v>
                </c:pt>
                <c:pt idx="6">
                  <c:v>2</c:v>
                </c:pt>
                <c:pt idx="7">
                  <c:v>3</c:v>
                </c:pt>
              </c:numCache>
            </c:numRef>
          </c:val>
          <c:extLst>
            <c:ext xmlns:c16="http://schemas.microsoft.com/office/drawing/2014/chart" uri="{C3380CC4-5D6E-409C-BE32-E72D297353CC}">
              <c16:uniqueId val="{00000000-DD4B-47A3-AF30-20BC661122FB}"/>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'O-2'!$D$10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'O-2'!$C$11:$C$18</c:f>
              <c:strCache>
                <c:ptCount val="8"/>
                <c:pt idx="0">
                  <c:v>MALZEME BESLEME</c:v>
                </c:pt>
                <c:pt idx="1">
                  <c:v>HAT İÇİ BESLEME</c:v>
                </c:pt>
                <c:pt idx="2">
                  <c:v>ÇEKME SİSTEMİ</c:v>
                </c:pt>
                <c:pt idx="3">
                  <c:v>SUPERMARKET MODELİ</c:v>
                </c:pt>
                <c:pt idx="4">
                  <c:v>TAŞIMA KANBANI</c:v>
                </c:pt>
                <c:pt idx="5">
                  <c:v>İÇ LOJİSTİK</c:v>
                </c:pt>
                <c:pt idx="6">
                  <c:v>FIFO</c:v>
                </c:pt>
                <c:pt idx="7">
                  <c:v>DEPO YÖNETİMİ</c:v>
                </c:pt>
              </c:strCache>
            </c:strRef>
          </c:cat>
          <c:val>
            <c:numRef>
              <c:f>'O-2'!$D$11:$D$18</c:f>
              <c:numCache>
                <c:formatCode>General</c:formatCode>
                <c:ptCount val="8"/>
                <c:pt idx="0">
                  <c:v>0</c:v>
                </c:pt>
                <c:pt idx="1">
                  <c:v>0</c:v>
                </c:pt>
                <c:pt idx="2">
                  <c:v>0</c:v>
                </c:pt>
                <c:pt idx="3">
                  <c:v>0</c:v>
                </c:pt>
                <c:pt idx="4">
                  <c:v>0</c:v>
                </c:pt>
                <c:pt idx="5">
                  <c:v>1</c:v>
                </c:pt>
                <c:pt idx="6">
                  <c:v>2</c:v>
                </c:pt>
                <c:pt idx="7">
                  <c:v>3</c:v>
                </c:pt>
              </c:numCache>
            </c:numRef>
          </c:val>
          <c:extLst>
            <c:ext xmlns:c16="http://schemas.microsoft.com/office/drawing/2014/chart" uri="{C3380CC4-5D6E-409C-BE32-E72D297353CC}">
              <c16:uniqueId val="{00000000-C4F4-4ADF-9235-3BB69849AD19}"/>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'P-1'!$C$11:$C$21</c:f>
              <c:strCache>
                <c:ptCount val="11"/>
                <c:pt idx="0">
                  <c:v>BAKIM HEDEFLERİ</c:v>
                </c:pt>
                <c:pt idx="1">
                  <c:v>ORGANİZASYON</c:v>
                </c:pt>
                <c:pt idx="2">
                  <c:v>BAKIM PLANLARI</c:v>
                </c:pt>
                <c:pt idx="3">
                  <c:v>KESTİRİMCİ BAKIM</c:v>
                </c:pt>
                <c:pt idx="4">
                  <c:v>KESTİRİMCİ BAKIM</c:v>
                </c:pt>
                <c:pt idx="5">
                  <c:v>BAKIM BÜTÇESİ</c:v>
                </c:pt>
                <c:pt idx="6">
                  <c:v>KRİTİK YEDEK PARÇA</c:v>
                </c:pt>
                <c:pt idx="7">
                  <c:v>ENERJİ</c:v>
                </c:pt>
                <c:pt idx="8">
                  <c:v>SAHA DÜZENİ</c:v>
                </c:pt>
                <c:pt idx="9">
                  <c:v>ERKEN EKİPMAN YÖNETİMİ</c:v>
                </c:pt>
                <c:pt idx="10">
                  <c:v>FMEA</c:v>
                </c:pt>
              </c:strCache>
            </c:strRef>
          </c:cat>
          <c:val>
            <c:numRef>
              <c:f>'P-1'!$D$11:$D$21</c:f>
              <c:numCache>
                <c:formatCode>General</c:formatCode>
                <c:ptCount val="11"/>
                <c:pt idx="0">
                  <c:v>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0-D3AF-4EC4-A100-259704EED975}"/>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'P-2'!$C$11:$C$21</c:f>
              <c:strCache>
                <c:ptCount val="11"/>
                <c:pt idx="0">
                  <c:v>BAKIM HEDEFLERİ</c:v>
                </c:pt>
                <c:pt idx="1">
                  <c:v>ORGANİZASYON</c:v>
                </c:pt>
                <c:pt idx="2">
                  <c:v>BAKIM PLANLARI</c:v>
                </c:pt>
                <c:pt idx="3">
                  <c:v>KESTİRİMCİ BAKIM</c:v>
                </c:pt>
                <c:pt idx="4">
                  <c:v>KESTİRİMCİ BAKIM</c:v>
                </c:pt>
                <c:pt idx="5">
                  <c:v>BAKIM BÜTÇESİ</c:v>
                </c:pt>
                <c:pt idx="6">
                  <c:v>KRİTİK YEDEK PARÇA</c:v>
                </c:pt>
                <c:pt idx="7">
                  <c:v>ENERJİ</c:v>
                </c:pt>
                <c:pt idx="8">
                  <c:v>SAHA DÜZENİ</c:v>
                </c:pt>
                <c:pt idx="9">
                  <c:v>ERKEN EKİPMAN YÖNETİMİ</c:v>
                </c:pt>
                <c:pt idx="10">
                  <c:v>FMEA</c:v>
                </c:pt>
              </c:strCache>
            </c:strRef>
          </c:cat>
          <c:val>
            <c:numRef>
              <c:f>'P-2'!$D$11:$D$21</c:f>
              <c:numCache>
                <c:formatCode>General</c:formatCode>
                <c:ptCount val="11"/>
                <c:pt idx="0">
                  <c:v>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0-A6A7-4F58-BA81-CC83B11E4091}"/>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'P-3'!$D$10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'P-3'!$C$11:$C$21</c:f>
              <c:strCache>
                <c:ptCount val="11"/>
                <c:pt idx="0">
                  <c:v>BAKIM HEDEFLERİ</c:v>
                </c:pt>
                <c:pt idx="1">
                  <c:v>ORGANİZASYON</c:v>
                </c:pt>
                <c:pt idx="2">
                  <c:v>BAKIM PLANLARI</c:v>
                </c:pt>
                <c:pt idx="3">
                  <c:v>KESTİRİMCİ BAKIM</c:v>
                </c:pt>
                <c:pt idx="4">
                  <c:v>KESTİRİMCİ BAKIM</c:v>
                </c:pt>
                <c:pt idx="5">
                  <c:v>BAKIM BÜTÇESİ</c:v>
                </c:pt>
                <c:pt idx="6">
                  <c:v>KRİTİK YEDEK PARÇA</c:v>
                </c:pt>
                <c:pt idx="7">
                  <c:v>ENERJİ</c:v>
                </c:pt>
                <c:pt idx="8">
                  <c:v>SAHA DÜZENİ</c:v>
                </c:pt>
                <c:pt idx="9">
                  <c:v>ERKEN EKİPMAN YÖNETİMİ</c:v>
                </c:pt>
                <c:pt idx="10">
                  <c:v>FMEA</c:v>
                </c:pt>
              </c:strCache>
            </c:strRef>
          </c:cat>
          <c:val>
            <c:numRef>
              <c:f>'P-3'!$D$11:$D$21</c:f>
              <c:numCache>
                <c:formatCode>General</c:formatCode>
                <c:ptCount val="11"/>
                <c:pt idx="0">
                  <c:v>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0-81A2-41C1-9B2A-AC7787EEB472}"/>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'R-1'!$D$10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'R-1'!$C$11:$C$17</c:f>
              <c:strCache>
                <c:ptCount val="7"/>
                <c:pt idx="0">
                  <c:v>KULLANICI BAKIMI</c:v>
                </c:pt>
                <c:pt idx="1">
                  <c:v>EĞİTİM</c:v>
                </c:pt>
                <c:pt idx="2">
                  <c:v>STANDARTLAR</c:v>
                </c:pt>
                <c:pt idx="3">
                  <c:v>HATA TESPİT</c:v>
                </c:pt>
                <c:pt idx="4">
                  <c:v>GÖRSEL KONTROL TEKNİKLERİ</c:v>
                </c:pt>
                <c:pt idx="5">
                  <c:v>YETKİNLİK</c:v>
                </c:pt>
                <c:pt idx="6">
                  <c:v>GELİŞİM</c:v>
                </c:pt>
              </c:strCache>
            </c:strRef>
          </c:cat>
          <c:val>
            <c:numRef>
              <c:f>'R-1'!$D$11:$D$17</c:f>
              <c:numCache>
                <c:formatCode>General</c:formatCode>
                <c:ptCount val="7"/>
                <c:pt idx="0">
                  <c:v>1</c:v>
                </c:pt>
                <c:pt idx="1">
                  <c:v>1</c:v>
                </c:pt>
                <c:pt idx="2">
                  <c:v>1</c:v>
                </c:pt>
                <c:pt idx="3">
                  <c:v>2</c:v>
                </c:pt>
                <c:pt idx="4">
                  <c:v>1</c:v>
                </c:pt>
                <c:pt idx="5">
                  <c:v>1</c:v>
                </c:pt>
                <c:pt idx="6">
                  <c:v>1</c:v>
                </c:pt>
              </c:numCache>
            </c:numRef>
          </c:val>
          <c:extLst>
            <c:ext xmlns:c16="http://schemas.microsoft.com/office/drawing/2014/chart" uri="{C3380CC4-5D6E-409C-BE32-E72D297353CC}">
              <c16:uniqueId val="{00000000-F32F-4C68-8059-68558A498B0D}"/>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'R-2'!$D$10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'R-2'!$C$11:$C$17</c:f>
              <c:strCache>
                <c:ptCount val="7"/>
                <c:pt idx="0">
                  <c:v>KULLANICI BAKIMI</c:v>
                </c:pt>
                <c:pt idx="1">
                  <c:v>EĞİTİM</c:v>
                </c:pt>
                <c:pt idx="2">
                  <c:v>STANDARTLAR</c:v>
                </c:pt>
                <c:pt idx="3">
                  <c:v>HATA TESPİT</c:v>
                </c:pt>
                <c:pt idx="4">
                  <c:v>GÖRSEL KONTROL TEKNİKLERİ</c:v>
                </c:pt>
                <c:pt idx="5">
                  <c:v>YETKİNLİK</c:v>
                </c:pt>
                <c:pt idx="6">
                  <c:v>GELİŞİM</c:v>
                </c:pt>
              </c:strCache>
            </c:strRef>
          </c:cat>
          <c:val>
            <c:numRef>
              <c:f>'R-2'!$D$11:$D$17</c:f>
              <c:numCache>
                <c:formatCode>General</c:formatCode>
                <c:ptCount val="7"/>
                <c:pt idx="0">
                  <c:v>1</c:v>
                </c:pt>
                <c:pt idx="1">
                  <c:v>1</c:v>
                </c:pt>
                <c:pt idx="2">
                  <c:v>1</c:v>
                </c:pt>
                <c:pt idx="3">
                  <c:v>2</c:v>
                </c:pt>
                <c:pt idx="4">
                  <c:v>1</c:v>
                </c:pt>
                <c:pt idx="5">
                  <c:v>1</c:v>
                </c:pt>
                <c:pt idx="6">
                  <c:v>1</c:v>
                </c:pt>
              </c:numCache>
            </c:numRef>
          </c:val>
          <c:extLst>
            <c:ext xmlns:c16="http://schemas.microsoft.com/office/drawing/2014/chart" uri="{C3380CC4-5D6E-409C-BE32-E72D297353CC}">
              <c16:uniqueId val="{00000000-6F16-4E0D-A24C-33952092CA32}"/>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'S-1'!$D$10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'S-1'!$C$11:$C$17</c:f>
              <c:strCache>
                <c:ptCount val="7"/>
                <c:pt idx="0">
                  <c:v>4M</c:v>
                </c:pt>
                <c:pt idx="1">
                  <c:v>SAHA KONTROLLERİ</c:v>
                </c:pt>
                <c:pt idx="2">
                  <c:v>PANO YÖNETİMİ</c:v>
                </c:pt>
                <c:pt idx="3">
                  <c:v>ÖN KOŞULLARIN TÖNETİMİ</c:v>
                </c:pt>
                <c:pt idx="4">
                  <c:v>KONTROL</c:v>
                </c:pt>
                <c:pt idx="5">
                  <c:v>KONTROL</c:v>
                </c:pt>
                <c:pt idx="6">
                  <c:v>RAPORLAMA</c:v>
                </c:pt>
              </c:strCache>
            </c:strRef>
          </c:cat>
          <c:val>
            <c:numRef>
              <c:f>'S-1'!$D$11:$D$17</c:f>
              <c:numCache>
                <c:formatCode>General</c:formatCode>
                <c:ptCount val="7"/>
                <c:pt idx="0">
                  <c:v>0</c:v>
                </c:pt>
                <c:pt idx="1">
                  <c:v>1</c:v>
                </c:pt>
                <c:pt idx="2">
                  <c:v>1</c:v>
                </c:pt>
                <c:pt idx="3">
                  <c:v>1</c:v>
                </c:pt>
                <c:pt idx="4">
                  <c:v>1</c:v>
                </c:pt>
                <c:pt idx="5">
                  <c:v>1</c:v>
                </c:pt>
                <c:pt idx="6">
                  <c:v>0</c:v>
                </c:pt>
              </c:numCache>
            </c:numRef>
          </c:val>
          <c:extLst>
            <c:ext xmlns:c16="http://schemas.microsoft.com/office/drawing/2014/chart" uri="{C3380CC4-5D6E-409C-BE32-E72D297353CC}">
              <c16:uniqueId val="{00000000-49C8-4709-9582-5CE0727C90EC}"/>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'S-2'!$D$10</c:f>
              <c:strCache>
                <c:ptCount val="1"/>
                <c:pt idx="0">
                  <c:v>PUAN</c:v>
                </c:pt>
              </c:strCache>
            </c:strRef>
          </c:tx>
          <c:spPr>
            <a:ln w="19050" cap="rnd">
              <a:solidFill>
                <a:schemeClr val="accent1">
                  <a:lumMod val="50000"/>
                </a:schemeClr>
              </a:solidFill>
              <a:prstDash val="sysDash"/>
              <a:round/>
            </a:ln>
            <a:effectLst/>
          </c:spPr>
          <c:marker>
            <c:symbol val="circle"/>
            <c:size val="5"/>
            <c:spPr>
              <a:solidFill>
                <a:schemeClr val="accent1"/>
              </a:solidFill>
              <a:ln w="19050">
                <a:solidFill>
                  <a:schemeClr val="accent1">
                    <a:lumMod val="50000"/>
                  </a:schemeClr>
                </a:solidFill>
                <a:prstDash val="sysDash"/>
              </a:ln>
              <a:effectLst/>
            </c:spPr>
          </c:marker>
          <c:cat>
            <c:strRef>
              <c:f>'S-2'!$C$11:$C$17</c:f>
              <c:strCache>
                <c:ptCount val="7"/>
                <c:pt idx="0">
                  <c:v>4M</c:v>
                </c:pt>
                <c:pt idx="1">
                  <c:v>SAHA KONTROLLERİ</c:v>
                </c:pt>
                <c:pt idx="2">
                  <c:v>PANO YÖNETİMİ</c:v>
                </c:pt>
                <c:pt idx="3">
                  <c:v>ÖN KOŞULLARIN TÖNETİMİ</c:v>
                </c:pt>
                <c:pt idx="4">
                  <c:v>KONTROL</c:v>
                </c:pt>
                <c:pt idx="5">
                  <c:v>KONTROL</c:v>
                </c:pt>
                <c:pt idx="6">
                  <c:v>RAPORLAMA</c:v>
                </c:pt>
              </c:strCache>
            </c:strRef>
          </c:cat>
          <c:val>
            <c:numRef>
              <c:f>'S-2'!$D$11:$D$17</c:f>
              <c:numCache>
                <c:formatCode>General</c:formatCode>
                <c:ptCount val="7"/>
                <c:pt idx="0">
                  <c:v>0</c:v>
                </c:pt>
                <c:pt idx="1">
                  <c:v>1</c:v>
                </c:pt>
                <c:pt idx="2">
                  <c:v>1</c:v>
                </c:pt>
                <c:pt idx="3">
                  <c:v>1</c:v>
                </c:pt>
                <c:pt idx="4">
                  <c:v>1</c:v>
                </c:pt>
                <c:pt idx="5">
                  <c:v>1</c:v>
                </c:pt>
                <c:pt idx="6">
                  <c:v>0</c:v>
                </c:pt>
              </c:numCache>
            </c:numRef>
          </c:val>
          <c:extLst>
            <c:ext xmlns:c16="http://schemas.microsoft.com/office/drawing/2014/chart" uri="{C3380CC4-5D6E-409C-BE32-E72D297353CC}">
              <c16:uniqueId val="{00000000-91D9-4240-B6E0-4011ED0DDFB1}"/>
            </c:ext>
          </c:extLst>
        </c:ser>
        <c:dLbls>
          <c:showLegendKey val="0"/>
          <c:showVal val="0"/>
          <c:showCatName val="0"/>
          <c:showSerName val="0"/>
          <c:showPercent val="0"/>
          <c:showBubbleSize val="0"/>
        </c:dLbls>
        <c:axId val="1554217919"/>
        <c:axId val="1554222079"/>
      </c:radarChart>
      <c:catAx>
        <c:axId val="155421791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22079"/>
        <c:crosses val="autoZero"/>
        <c:auto val="1"/>
        <c:lblAlgn val="ctr"/>
        <c:lblOffset val="100"/>
        <c:noMultiLvlLbl val="0"/>
      </c:catAx>
      <c:valAx>
        <c:axId val="1554222079"/>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554217919"/>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11.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1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1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2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2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2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3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3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3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3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4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4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4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4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5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54.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5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58.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6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61.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6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64.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66.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6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68.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7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71.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72.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7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674915</xdr:colOff>
      <xdr:row>5</xdr:row>
      <xdr:rowOff>23586</xdr:rowOff>
    </xdr:from>
    <xdr:to>
      <xdr:col>13</xdr:col>
      <xdr:colOff>152241</xdr:colOff>
      <xdr:row>8</xdr:row>
      <xdr:rowOff>122192</xdr:rowOff>
    </xdr:to>
    <xdr:pic>
      <xdr:nvPicPr>
        <xdr:cNvPr id="3" name="Resim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32815" y="1382486"/>
          <a:ext cx="3858826" cy="974906"/>
        </a:xfrm>
        <a:prstGeom prst="rect">
          <a:avLst/>
        </a:prstGeom>
      </xdr:spPr>
    </xdr:pic>
    <xdr:clientData/>
  </xdr:twoCellAnchor>
  <xdr:twoCellAnchor editAs="oneCell">
    <xdr:from>
      <xdr:col>1</xdr:col>
      <xdr:colOff>76199</xdr:colOff>
      <xdr:row>8</xdr:row>
      <xdr:rowOff>76200</xdr:rowOff>
    </xdr:from>
    <xdr:to>
      <xdr:col>5</xdr:col>
      <xdr:colOff>167188</xdr:colOff>
      <xdr:row>26</xdr:row>
      <xdr:rowOff>187960</xdr:rowOff>
    </xdr:to>
    <xdr:pic>
      <xdr:nvPicPr>
        <xdr:cNvPr id="4" name="Resim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5799" y="2311400"/>
          <a:ext cx="3596189" cy="536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103415</xdr:colOff>
      <xdr:row>0</xdr:row>
      <xdr:rowOff>175986</xdr:rowOff>
    </xdr:from>
    <xdr:to>
      <xdr:col>4</xdr:col>
      <xdr:colOff>635000</xdr:colOff>
      <xdr:row>3</xdr:row>
      <xdr:rowOff>212461</xdr:rowOff>
    </xdr:to>
    <xdr:pic>
      <xdr:nvPicPr>
        <xdr:cNvPr id="2" name="Resim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3015" y="175986"/>
          <a:ext cx="3160485" cy="798475"/>
        </a:xfrm>
        <a:prstGeom prst="rect">
          <a:avLst/>
        </a:prstGeom>
      </xdr:spPr>
    </xdr:pic>
    <xdr:clientData/>
  </xdr:twoCellAnchor>
  <xdr:twoCellAnchor editAs="oneCell">
    <xdr:from>
      <xdr:col>1</xdr:col>
      <xdr:colOff>88900</xdr:colOff>
      <xdr:row>3</xdr:row>
      <xdr:rowOff>266700</xdr:rowOff>
    </xdr:from>
    <xdr:to>
      <xdr:col>7</xdr:col>
      <xdr:colOff>723900</xdr:colOff>
      <xdr:row>4</xdr:row>
      <xdr:rowOff>76200</xdr:rowOff>
    </xdr:to>
    <xdr:pic>
      <xdr:nvPicPr>
        <xdr:cNvPr id="4" name="Resim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 y="1041400"/>
          <a:ext cx="6032500" cy="10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151311</xdr:colOff>
      <xdr:row>24</xdr:row>
      <xdr:rowOff>32659</xdr:rowOff>
    </xdr:from>
    <xdr:to>
      <xdr:col>9</xdr:col>
      <xdr:colOff>280851</xdr:colOff>
      <xdr:row>24</xdr:row>
      <xdr:rowOff>152402</xdr:rowOff>
    </xdr:to>
    <xdr:pic>
      <xdr:nvPicPr>
        <xdr:cNvPr id="2" name="Resim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0311" y="6908802"/>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202680</xdr:colOff>
      <xdr:row>24</xdr:row>
      <xdr:rowOff>106194</xdr:rowOff>
    </xdr:from>
    <xdr:to>
      <xdr:col>5</xdr:col>
      <xdr:colOff>185418</xdr:colOff>
      <xdr:row>26</xdr:row>
      <xdr:rowOff>186539</xdr:rowOff>
    </xdr:to>
    <xdr:pic>
      <xdr:nvPicPr>
        <xdr:cNvPr id="3" name="Resim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91680" y="6982337"/>
          <a:ext cx="2921881" cy="6609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103415</xdr:colOff>
      <xdr:row>0</xdr:row>
      <xdr:rowOff>175986</xdr:rowOff>
    </xdr:from>
    <xdr:to>
      <xdr:col>4</xdr:col>
      <xdr:colOff>635000</xdr:colOff>
      <xdr:row>3</xdr:row>
      <xdr:rowOff>212461</xdr:rowOff>
    </xdr:to>
    <xdr:pic>
      <xdr:nvPicPr>
        <xdr:cNvPr id="2" name="Resim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3015" y="175986"/>
          <a:ext cx="3160485" cy="798475"/>
        </a:xfrm>
        <a:prstGeom prst="rect">
          <a:avLst/>
        </a:prstGeom>
      </xdr:spPr>
    </xdr:pic>
    <xdr:clientData/>
  </xdr:twoCellAnchor>
  <xdr:twoCellAnchor editAs="oneCell">
    <xdr:from>
      <xdr:col>1</xdr:col>
      <xdr:colOff>88900</xdr:colOff>
      <xdr:row>3</xdr:row>
      <xdr:rowOff>266700</xdr:rowOff>
    </xdr:from>
    <xdr:to>
      <xdr:col>7</xdr:col>
      <xdr:colOff>723900</xdr:colOff>
      <xdr:row>4</xdr:row>
      <xdr:rowOff>76200</xdr:rowOff>
    </xdr:to>
    <xdr:pic>
      <xdr:nvPicPr>
        <xdr:cNvPr id="3" name="Resim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 y="1028700"/>
          <a:ext cx="602996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103415</xdr:colOff>
      <xdr:row>0</xdr:row>
      <xdr:rowOff>175986</xdr:rowOff>
    </xdr:from>
    <xdr:to>
      <xdr:col>4</xdr:col>
      <xdr:colOff>635000</xdr:colOff>
      <xdr:row>3</xdr:row>
      <xdr:rowOff>212461</xdr:rowOff>
    </xdr:to>
    <xdr:pic>
      <xdr:nvPicPr>
        <xdr:cNvPr id="2" name="Resim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3015" y="175986"/>
          <a:ext cx="3160485" cy="798475"/>
        </a:xfrm>
        <a:prstGeom prst="rect">
          <a:avLst/>
        </a:prstGeom>
      </xdr:spPr>
    </xdr:pic>
    <xdr:clientData/>
  </xdr:twoCellAnchor>
  <xdr:twoCellAnchor editAs="oneCell">
    <xdr:from>
      <xdr:col>1</xdr:col>
      <xdr:colOff>88900</xdr:colOff>
      <xdr:row>3</xdr:row>
      <xdr:rowOff>266700</xdr:rowOff>
    </xdr:from>
    <xdr:to>
      <xdr:col>7</xdr:col>
      <xdr:colOff>723900</xdr:colOff>
      <xdr:row>4</xdr:row>
      <xdr:rowOff>76200</xdr:rowOff>
    </xdr:to>
    <xdr:pic>
      <xdr:nvPicPr>
        <xdr:cNvPr id="3" name="Resim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 y="1028700"/>
          <a:ext cx="602996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103415</xdr:colOff>
      <xdr:row>0</xdr:row>
      <xdr:rowOff>175986</xdr:rowOff>
    </xdr:from>
    <xdr:to>
      <xdr:col>4</xdr:col>
      <xdr:colOff>635000</xdr:colOff>
      <xdr:row>3</xdr:row>
      <xdr:rowOff>212461</xdr:rowOff>
    </xdr:to>
    <xdr:pic>
      <xdr:nvPicPr>
        <xdr:cNvPr id="2" name="Resim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3015" y="175986"/>
          <a:ext cx="3160485" cy="798475"/>
        </a:xfrm>
        <a:prstGeom prst="rect">
          <a:avLst/>
        </a:prstGeom>
      </xdr:spPr>
    </xdr:pic>
    <xdr:clientData/>
  </xdr:twoCellAnchor>
  <xdr:twoCellAnchor editAs="oneCell">
    <xdr:from>
      <xdr:col>1</xdr:col>
      <xdr:colOff>88900</xdr:colOff>
      <xdr:row>3</xdr:row>
      <xdr:rowOff>266700</xdr:rowOff>
    </xdr:from>
    <xdr:to>
      <xdr:col>7</xdr:col>
      <xdr:colOff>723900</xdr:colOff>
      <xdr:row>4</xdr:row>
      <xdr:rowOff>76200</xdr:rowOff>
    </xdr:to>
    <xdr:pic>
      <xdr:nvPicPr>
        <xdr:cNvPr id="3" name="Resim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 y="1028700"/>
          <a:ext cx="602996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63500</xdr:colOff>
      <xdr:row>8</xdr:row>
      <xdr:rowOff>63500</xdr:rowOff>
    </xdr:from>
    <xdr:to>
      <xdr:col>3</xdr:col>
      <xdr:colOff>622300</xdr:colOff>
      <xdr:row>10</xdr:row>
      <xdr:rowOff>190500</xdr:rowOff>
    </xdr:to>
    <xdr:sp macro="" textlink="">
      <xdr:nvSpPr>
        <xdr:cNvPr id="5" name="Beşgen 4">
          <a:extLst>
            <a:ext uri="{FF2B5EF4-FFF2-40B4-BE49-F238E27FC236}">
              <a16:creationId xmlns:a16="http://schemas.microsoft.com/office/drawing/2014/main" id="{00000000-0008-0000-0700-000005000000}"/>
            </a:ext>
          </a:extLst>
        </xdr:cNvPr>
        <xdr:cNvSpPr/>
      </xdr:nvSpPr>
      <xdr:spPr>
        <a:xfrm>
          <a:off x="1549400" y="2286000"/>
          <a:ext cx="1435100" cy="685800"/>
        </a:xfrm>
        <a:prstGeom prst="homePlate">
          <a:avLst/>
        </a:prstGeom>
        <a:solidFill>
          <a:srgbClr val="FF212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400" b="1">
              <a:solidFill>
                <a:schemeClr val="tx1"/>
              </a:solidFill>
            </a:rPr>
            <a:t>0-30</a:t>
          </a:r>
        </a:p>
      </xdr:txBody>
    </xdr:sp>
    <xdr:clientData/>
  </xdr:twoCellAnchor>
  <xdr:twoCellAnchor>
    <xdr:from>
      <xdr:col>3</xdr:col>
      <xdr:colOff>330200</xdr:colOff>
      <xdr:row>8</xdr:row>
      <xdr:rowOff>50800</xdr:rowOff>
    </xdr:from>
    <xdr:to>
      <xdr:col>6</xdr:col>
      <xdr:colOff>901700</xdr:colOff>
      <xdr:row>10</xdr:row>
      <xdr:rowOff>203200</xdr:rowOff>
    </xdr:to>
    <xdr:sp macro="" textlink="">
      <xdr:nvSpPr>
        <xdr:cNvPr id="6" name="Köşeli Çift Ayraç 5">
          <a:extLst>
            <a:ext uri="{FF2B5EF4-FFF2-40B4-BE49-F238E27FC236}">
              <a16:creationId xmlns:a16="http://schemas.microsoft.com/office/drawing/2014/main" id="{00000000-0008-0000-0700-000006000000}"/>
            </a:ext>
          </a:extLst>
        </xdr:cNvPr>
        <xdr:cNvSpPr/>
      </xdr:nvSpPr>
      <xdr:spPr>
        <a:xfrm>
          <a:off x="2692400" y="2273300"/>
          <a:ext cx="3200400" cy="711200"/>
        </a:xfrm>
        <a:prstGeom prst="chevron">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r-TR" sz="2400" b="1">
              <a:solidFill>
                <a:schemeClr val="tx1"/>
              </a:solidFill>
            </a:rPr>
            <a:t>İSRAF YOĞUN</a:t>
          </a:r>
        </a:p>
      </xdr:txBody>
    </xdr:sp>
    <xdr:clientData/>
  </xdr:twoCellAnchor>
  <xdr:twoCellAnchor>
    <xdr:from>
      <xdr:col>2</xdr:col>
      <xdr:colOff>88900</xdr:colOff>
      <xdr:row>12</xdr:row>
      <xdr:rowOff>88900</xdr:rowOff>
    </xdr:from>
    <xdr:to>
      <xdr:col>3</xdr:col>
      <xdr:colOff>647700</xdr:colOff>
      <xdr:row>14</xdr:row>
      <xdr:rowOff>215900</xdr:rowOff>
    </xdr:to>
    <xdr:sp macro="" textlink="">
      <xdr:nvSpPr>
        <xdr:cNvPr id="7" name="Beşgen 6">
          <a:extLst>
            <a:ext uri="{FF2B5EF4-FFF2-40B4-BE49-F238E27FC236}">
              <a16:creationId xmlns:a16="http://schemas.microsoft.com/office/drawing/2014/main" id="{00000000-0008-0000-0700-000007000000}"/>
            </a:ext>
          </a:extLst>
        </xdr:cNvPr>
        <xdr:cNvSpPr/>
      </xdr:nvSpPr>
      <xdr:spPr>
        <a:xfrm>
          <a:off x="1574800" y="3429000"/>
          <a:ext cx="1435100" cy="685800"/>
        </a:xfrm>
        <a:prstGeom prst="homePlate">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400" b="1">
              <a:solidFill>
                <a:schemeClr val="tx1"/>
              </a:solidFill>
            </a:rPr>
            <a:t>31-50</a:t>
          </a:r>
        </a:p>
      </xdr:txBody>
    </xdr:sp>
    <xdr:clientData/>
  </xdr:twoCellAnchor>
  <xdr:twoCellAnchor>
    <xdr:from>
      <xdr:col>3</xdr:col>
      <xdr:colOff>355600</xdr:colOff>
      <xdr:row>12</xdr:row>
      <xdr:rowOff>76200</xdr:rowOff>
    </xdr:from>
    <xdr:to>
      <xdr:col>6</xdr:col>
      <xdr:colOff>927100</xdr:colOff>
      <xdr:row>14</xdr:row>
      <xdr:rowOff>228600</xdr:rowOff>
    </xdr:to>
    <xdr:sp macro="" textlink="">
      <xdr:nvSpPr>
        <xdr:cNvPr id="8" name="Köşeli Çift Ayraç 7">
          <a:extLst>
            <a:ext uri="{FF2B5EF4-FFF2-40B4-BE49-F238E27FC236}">
              <a16:creationId xmlns:a16="http://schemas.microsoft.com/office/drawing/2014/main" id="{00000000-0008-0000-0700-000008000000}"/>
            </a:ext>
          </a:extLst>
        </xdr:cNvPr>
        <xdr:cNvSpPr/>
      </xdr:nvSpPr>
      <xdr:spPr>
        <a:xfrm>
          <a:off x="2717800" y="3416300"/>
          <a:ext cx="3200400" cy="711200"/>
        </a:xfrm>
        <a:prstGeom prst="chevron">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r-TR" sz="2400" b="1">
              <a:solidFill>
                <a:schemeClr val="tx1"/>
              </a:solidFill>
            </a:rPr>
            <a:t>TEMEL</a:t>
          </a:r>
          <a:r>
            <a:rPr lang="tr-TR" sz="2400" b="1" baseline="0">
              <a:solidFill>
                <a:schemeClr val="tx1"/>
              </a:solidFill>
            </a:rPr>
            <a:t> SEVİYE</a:t>
          </a:r>
          <a:endParaRPr lang="tr-TR" sz="2400" b="1">
            <a:solidFill>
              <a:schemeClr val="tx1"/>
            </a:solidFill>
          </a:endParaRPr>
        </a:p>
      </xdr:txBody>
    </xdr:sp>
    <xdr:clientData/>
  </xdr:twoCellAnchor>
  <xdr:twoCellAnchor>
    <xdr:from>
      <xdr:col>2</xdr:col>
      <xdr:colOff>50800</xdr:colOff>
      <xdr:row>16</xdr:row>
      <xdr:rowOff>76200</xdr:rowOff>
    </xdr:from>
    <xdr:to>
      <xdr:col>3</xdr:col>
      <xdr:colOff>609600</xdr:colOff>
      <xdr:row>18</xdr:row>
      <xdr:rowOff>203200</xdr:rowOff>
    </xdr:to>
    <xdr:sp macro="" textlink="">
      <xdr:nvSpPr>
        <xdr:cNvPr id="9" name="Beşgen 8">
          <a:extLst>
            <a:ext uri="{FF2B5EF4-FFF2-40B4-BE49-F238E27FC236}">
              <a16:creationId xmlns:a16="http://schemas.microsoft.com/office/drawing/2014/main" id="{00000000-0008-0000-0700-000009000000}"/>
            </a:ext>
          </a:extLst>
        </xdr:cNvPr>
        <xdr:cNvSpPr/>
      </xdr:nvSpPr>
      <xdr:spPr>
        <a:xfrm>
          <a:off x="1536700" y="4533900"/>
          <a:ext cx="1435100" cy="685800"/>
        </a:xfrm>
        <a:prstGeom prst="homePlat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400" b="1">
              <a:solidFill>
                <a:schemeClr val="tx1"/>
              </a:solidFill>
            </a:rPr>
            <a:t>51-70</a:t>
          </a:r>
        </a:p>
      </xdr:txBody>
    </xdr:sp>
    <xdr:clientData/>
  </xdr:twoCellAnchor>
  <xdr:twoCellAnchor>
    <xdr:from>
      <xdr:col>3</xdr:col>
      <xdr:colOff>317500</xdr:colOff>
      <xdr:row>16</xdr:row>
      <xdr:rowOff>63500</xdr:rowOff>
    </xdr:from>
    <xdr:to>
      <xdr:col>6</xdr:col>
      <xdr:colOff>889000</xdr:colOff>
      <xdr:row>18</xdr:row>
      <xdr:rowOff>215900</xdr:rowOff>
    </xdr:to>
    <xdr:sp macro="" textlink="">
      <xdr:nvSpPr>
        <xdr:cNvPr id="10" name="Köşeli Çift Ayraç 9">
          <a:extLst>
            <a:ext uri="{FF2B5EF4-FFF2-40B4-BE49-F238E27FC236}">
              <a16:creationId xmlns:a16="http://schemas.microsoft.com/office/drawing/2014/main" id="{00000000-0008-0000-0700-00000A000000}"/>
            </a:ext>
          </a:extLst>
        </xdr:cNvPr>
        <xdr:cNvSpPr/>
      </xdr:nvSpPr>
      <xdr:spPr>
        <a:xfrm>
          <a:off x="2679700" y="4521200"/>
          <a:ext cx="3200400" cy="711200"/>
        </a:xfrm>
        <a:prstGeom prst="chevron">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r-TR" sz="2400" b="1">
              <a:solidFill>
                <a:schemeClr val="tx1"/>
              </a:solidFill>
            </a:rPr>
            <a:t>GELİŞİME AÇIK</a:t>
          </a:r>
        </a:p>
      </xdr:txBody>
    </xdr:sp>
    <xdr:clientData/>
  </xdr:twoCellAnchor>
  <xdr:twoCellAnchor>
    <xdr:from>
      <xdr:col>2</xdr:col>
      <xdr:colOff>76200</xdr:colOff>
      <xdr:row>20</xdr:row>
      <xdr:rowOff>101600</xdr:rowOff>
    </xdr:from>
    <xdr:to>
      <xdr:col>3</xdr:col>
      <xdr:colOff>635000</xdr:colOff>
      <xdr:row>22</xdr:row>
      <xdr:rowOff>228600</xdr:rowOff>
    </xdr:to>
    <xdr:sp macro="" textlink="">
      <xdr:nvSpPr>
        <xdr:cNvPr id="11" name="Beşgen 10">
          <a:extLst>
            <a:ext uri="{FF2B5EF4-FFF2-40B4-BE49-F238E27FC236}">
              <a16:creationId xmlns:a16="http://schemas.microsoft.com/office/drawing/2014/main" id="{00000000-0008-0000-0700-00000B000000}"/>
            </a:ext>
          </a:extLst>
        </xdr:cNvPr>
        <xdr:cNvSpPr/>
      </xdr:nvSpPr>
      <xdr:spPr>
        <a:xfrm>
          <a:off x="1562100" y="5676900"/>
          <a:ext cx="1435100" cy="685800"/>
        </a:xfrm>
        <a:prstGeom prst="homePlat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400" b="1">
              <a:solidFill>
                <a:schemeClr val="tx1"/>
              </a:solidFill>
            </a:rPr>
            <a:t>71-85</a:t>
          </a:r>
        </a:p>
      </xdr:txBody>
    </xdr:sp>
    <xdr:clientData/>
  </xdr:twoCellAnchor>
  <xdr:twoCellAnchor>
    <xdr:from>
      <xdr:col>3</xdr:col>
      <xdr:colOff>342900</xdr:colOff>
      <xdr:row>20</xdr:row>
      <xdr:rowOff>88900</xdr:rowOff>
    </xdr:from>
    <xdr:to>
      <xdr:col>6</xdr:col>
      <xdr:colOff>914400</xdr:colOff>
      <xdr:row>22</xdr:row>
      <xdr:rowOff>241300</xdr:rowOff>
    </xdr:to>
    <xdr:sp macro="" textlink="">
      <xdr:nvSpPr>
        <xdr:cNvPr id="12" name="Köşeli Çift Ayraç 11">
          <a:extLst>
            <a:ext uri="{FF2B5EF4-FFF2-40B4-BE49-F238E27FC236}">
              <a16:creationId xmlns:a16="http://schemas.microsoft.com/office/drawing/2014/main" id="{00000000-0008-0000-0700-00000C000000}"/>
            </a:ext>
          </a:extLst>
        </xdr:cNvPr>
        <xdr:cNvSpPr/>
      </xdr:nvSpPr>
      <xdr:spPr>
        <a:xfrm>
          <a:off x="2705100" y="5664200"/>
          <a:ext cx="3200400" cy="711200"/>
        </a:xfrm>
        <a:prstGeom prst="chevron">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r-TR" sz="2400" b="1">
              <a:solidFill>
                <a:schemeClr val="tx1"/>
              </a:solidFill>
            </a:rPr>
            <a:t>SÜRDÜRÜLEBİLİR</a:t>
          </a:r>
        </a:p>
      </xdr:txBody>
    </xdr:sp>
    <xdr:clientData/>
  </xdr:twoCellAnchor>
  <xdr:twoCellAnchor>
    <xdr:from>
      <xdr:col>2</xdr:col>
      <xdr:colOff>63500</xdr:colOff>
      <xdr:row>24</xdr:row>
      <xdr:rowOff>63500</xdr:rowOff>
    </xdr:from>
    <xdr:to>
      <xdr:col>3</xdr:col>
      <xdr:colOff>622300</xdr:colOff>
      <xdr:row>26</xdr:row>
      <xdr:rowOff>190500</xdr:rowOff>
    </xdr:to>
    <xdr:sp macro="" textlink="">
      <xdr:nvSpPr>
        <xdr:cNvPr id="13" name="Beşgen 12">
          <a:extLst>
            <a:ext uri="{FF2B5EF4-FFF2-40B4-BE49-F238E27FC236}">
              <a16:creationId xmlns:a16="http://schemas.microsoft.com/office/drawing/2014/main" id="{00000000-0008-0000-0700-00000D000000}"/>
            </a:ext>
          </a:extLst>
        </xdr:cNvPr>
        <xdr:cNvSpPr/>
      </xdr:nvSpPr>
      <xdr:spPr>
        <a:xfrm>
          <a:off x="1549400" y="6756400"/>
          <a:ext cx="1435100" cy="6858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400" b="1">
              <a:solidFill>
                <a:schemeClr val="tx1"/>
              </a:solidFill>
            </a:rPr>
            <a:t>86-100</a:t>
          </a:r>
        </a:p>
      </xdr:txBody>
    </xdr:sp>
    <xdr:clientData/>
  </xdr:twoCellAnchor>
  <xdr:twoCellAnchor>
    <xdr:from>
      <xdr:col>3</xdr:col>
      <xdr:colOff>330200</xdr:colOff>
      <xdr:row>24</xdr:row>
      <xdr:rowOff>50800</xdr:rowOff>
    </xdr:from>
    <xdr:to>
      <xdr:col>6</xdr:col>
      <xdr:colOff>901700</xdr:colOff>
      <xdr:row>26</xdr:row>
      <xdr:rowOff>203200</xdr:rowOff>
    </xdr:to>
    <xdr:sp macro="" textlink="">
      <xdr:nvSpPr>
        <xdr:cNvPr id="14" name="Köşeli Çift Ayraç 13">
          <a:extLst>
            <a:ext uri="{FF2B5EF4-FFF2-40B4-BE49-F238E27FC236}">
              <a16:creationId xmlns:a16="http://schemas.microsoft.com/office/drawing/2014/main" id="{00000000-0008-0000-0700-00000E000000}"/>
            </a:ext>
          </a:extLst>
        </xdr:cNvPr>
        <xdr:cNvSpPr/>
      </xdr:nvSpPr>
      <xdr:spPr>
        <a:xfrm>
          <a:off x="2692400" y="6743700"/>
          <a:ext cx="3200400" cy="711200"/>
        </a:xfrm>
        <a:prstGeom prst="chevron">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r-TR" sz="2400" b="1">
              <a:solidFill>
                <a:schemeClr val="tx1"/>
              </a:solidFill>
            </a:rPr>
            <a:t>MÜKEMMELLİK</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36286</xdr:colOff>
      <xdr:row>24</xdr:row>
      <xdr:rowOff>54428</xdr:rowOff>
    </xdr:from>
    <xdr:to>
      <xdr:col>9</xdr:col>
      <xdr:colOff>165826</xdr:colOff>
      <xdr:row>24</xdr:row>
      <xdr:rowOff>174171</xdr:rowOff>
    </xdr:to>
    <xdr:pic>
      <xdr:nvPicPr>
        <xdr:cNvPr id="4" name="Resim 3">
          <a:extLst>
            <a:ext uri="{FF2B5EF4-FFF2-40B4-BE49-F238E27FC236}">
              <a16:creationId xmlns:a16="http://schemas.microsoft.com/office/drawing/2014/main" id="{19F21E32-04B6-2644-A911-E5AD8670B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5286" y="6930571"/>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87655</xdr:colOff>
      <xdr:row>24</xdr:row>
      <xdr:rowOff>127963</xdr:rowOff>
    </xdr:from>
    <xdr:to>
      <xdr:col>5</xdr:col>
      <xdr:colOff>70393</xdr:colOff>
      <xdr:row>26</xdr:row>
      <xdr:rowOff>208308</xdr:rowOff>
    </xdr:to>
    <xdr:pic>
      <xdr:nvPicPr>
        <xdr:cNvPr id="5" name="Resim 4">
          <a:extLst>
            <a:ext uri="{FF2B5EF4-FFF2-40B4-BE49-F238E27FC236}">
              <a16:creationId xmlns:a16="http://schemas.microsoft.com/office/drawing/2014/main" id="{243EF798-5B4D-4941-89A7-60792DAC7DA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6655" y="7004106"/>
          <a:ext cx="2921881" cy="6609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38100</xdr:colOff>
      <xdr:row>11</xdr:row>
      <xdr:rowOff>25400</xdr:rowOff>
    </xdr:from>
    <xdr:to>
      <xdr:col>14</xdr:col>
      <xdr:colOff>812800</xdr:colOff>
      <xdr:row>29</xdr:row>
      <xdr:rowOff>241300</xdr:rowOff>
    </xdr:to>
    <xdr:graphicFrame macro="">
      <xdr:nvGraphicFramePr>
        <xdr:cNvPr id="4" name="Grafik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103415</xdr:colOff>
      <xdr:row>0</xdr:row>
      <xdr:rowOff>175986</xdr:rowOff>
    </xdr:from>
    <xdr:to>
      <xdr:col>4</xdr:col>
      <xdr:colOff>635000</xdr:colOff>
      <xdr:row>3</xdr:row>
      <xdr:rowOff>212461</xdr:rowOff>
    </xdr:to>
    <xdr:pic>
      <xdr:nvPicPr>
        <xdr:cNvPr id="2" name="Resim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3015" y="175986"/>
          <a:ext cx="3160485" cy="798475"/>
        </a:xfrm>
        <a:prstGeom prst="rect">
          <a:avLst/>
        </a:prstGeom>
      </xdr:spPr>
    </xdr:pic>
    <xdr:clientData/>
  </xdr:twoCellAnchor>
  <xdr:twoCellAnchor editAs="oneCell">
    <xdr:from>
      <xdr:col>1</xdr:col>
      <xdr:colOff>88900</xdr:colOff>
      <xdr:row>3</xdr:row>
      <xdr:rowOff>266700</xdr:rowOff>
    </xdr:from>
    <xdr:to>
      <xdr:col>7</xdr:col>
      <xdr:colOff>723900</xdr:colOff>
      <xdr:row>4</xdr:row>
      <xdr:rowOff>76200</xdr:rowOff>
    </xdr:to>
    <xdr:pic>
      <xdr:nvPicPr>
        <xdr:cNvPr id="3" name="Resim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 y="1028700"/>
          <a:ext cx="602996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63500</xdr:colOff>
      <xdr:row>8</xdr:row>
      <xdr:rowOff>63500</xdr:rowOff>
    </xdr:from>
    <xdr:to>
      <xdr:col>3</xdr:col>
      <xdr:colOff>622300</xdr:colOff>
      <xdr:row>10</xdr:row>
      <xdr:rowOff>190500</xdr:rowOff>
    </xdr:to>
    <xdr:sp macro="" textlink="">
      <xdr:nvSpPr>
        <xdr:cNvPr id="4" name="Beşgen 3">
          <a:extLst>
            <a:ext uri="{FF2B5EF4-FFF2-40B4-BE49-F238E27FC236}">
              <a16:creationId xmlns:a16="http://schemas.microsoft.com/office/drawing/2014/main" id="{00000000-0008-0000-0A00-000004000000}"/>
            </a:ext>
          </a:extLst>
        </xdr:cNvPr>
        <xdr:cNvSpPr/>
      </xdr:nvSpPr>
      <xdr:spPr>
        <a:xfrm>
          <a:off x="1549400" y="2273300"/>
          <a:ext cx="1435100" cy="683260"/>
        </a:xfrm>
        <a:prstGeom prst="homePlate">
          <a:avLst/>
        </a:prstGeom>
        <a:solidFill>
          <a:srgbClr val="FF212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400" b="1">
              <a:solidFill>
                <a:schemeClr val="tx1"/>
              </a:solidFill>
            </a:rPr>
            <a:t>0-30</a:t>
          </a:r>
        </a:p>
      </xdr:txBody>
    </xdr:sp>
    <xdr:clientData/>
  </xdr:twoCellAnchor>
  <xdr:twoCellAnchor>
    <xdr:from>
      <xdr:col>3</xdr:col>
      <xdr:colOff>330200</xdr:colOff>
      <xdr:row>8</xdr:row>
      <xdr:rowOff>50800</xdr:rowOff>
    </xdr:from>
    <xdr:to>
      <xdr:col>6</xdr:col>
      <xdr:colOff>901700</xdr:colOff>
      <xdr:row>10</xdr:row>
      <xdr:rowOff>203200</xdr:rowOff>
    </xdr:to>
    <xdr:sp macro="" textlink="">
      <xdr:nvSpPr>
        <xdr:cNvPr id="5" name="Köşeli Çift Ayraç 4">
          <a:extLst>
            <a:ext uri="{FF2B5EF4-FFF2-40B4-BE49-F238E27FC236}">
              <a16:creationId xmlns:a16="http://schemas.microsoft.com/office/drawing/2014/main" id="{00000000-0008-0000-0A00-000005000000}"/>
            </a:ext>
          </a:extLst>
        </xdr:cNvPr>
        <xdr:cNvSpPr/>
      </xdr:nvSpPr>
      <xdr:spPr>
        <a:xfrm>
          <a:off x="2692400" y="2260600"/>
          <a:ext cx="3200400" cy="708660"/>
        </a:xfrm>
        <a:prstGeom prst="chevron">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r-TR" sz="2400" b="1">
              <a:solidFill>
                <a:schemeClr val="tx1"/>
              </a:solidFill>
            </a:rPr>
            <a:t>İSRAF YOĞUN</a:t>
          </a:r>
        </a:p>
      </xdr:txBody>
    </xdr:sp>
    <xdr:clientData/>
  </xdr:twoCellAnchor>
  <xdr:twoCellAnchor>
    <xdr:from>
      <xdr:col>2</xdr:col>
      <xdr:colOff>88900</xdr:colOff>
      <xdr:row>12</xdr:row>
      <xdr:rowOff>88900</xdr:rowOff>
    </xdr:from>
    <xdr:to>
      <xdr:col>3</xdr:col>
      <xdr:colOff>647700</xdr:colOff>
      <xdr:row>14</xdr:row>
      <xdr:rowOff>215900</xdr:rowOff>
    </xdr:to>
    <xdr:sp macro="" textlink="">
      <xdr:nvSpPr>
        <xdr:cNvPr id="6" name="Beşgen 5">
          <a:extLst>
            <a:ext uri="{FF2B5EF4-FFF2-40B4-BE49-F238E27FC236}">
              <a16:creationId xmlns:a16="http://schemas.microsoft.com/office/drawing/2014/main" id="{00000000-0008-0000-0A00-000006000000}"/>
            </a:ext>
          </a:extLst>
        </xdr:cNvPr>
        <xdr:cNvSpPr/>
      </xdr:nvSpPr>
      <xdr:spPr>
        <a:xfrm>
          <a:off x="1574800" y="3403600"/>
          <a:ext cx="1435100" cy="675640"/>
        </a:xfrm>
        <a:prstGeom prst="homePlate">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400" b="1">
              <a:solidFill>
                <a:schemeClr val="tx1"/>
              </a:solidFill>
            </a:rPr>
            <a:t>31-50</a:t>
          </a:r>
        </a:p>
      </xdr:txBody>
    </xdr:sp>
    <xdr:clientData/>
  </xdr:twoCellAnchor>
  <xdr:twoCellAnchor>
    <xdr:from>
      <xdr:col>3</xdr:col>
      <xdr:colOff>355600</xdr:colOff>
      <xdr:row>12</xdr:row>
      <xdr:rowOff>76200</xdr:rowOff>
    </xdr:from>
    <xdr:to>
      <xdr:col>6</xdr:col>
      <xdr:colOff>927100</xdr:colOff>
      <xdr:row>14</xdr:row>
      <xdr:rowOff>228600</xdr:rowOff>
    </xdr:to>
    <xdr:sp macro="" textlink="">
      <xdr:nvSpPr>
        <xdr:cNvPr id="7" name="Köşeli Çift Ayraç 6">
          <a:extLst>
            <a:ext uri="{FF2B5EF4-FFF2-40B4-BE49-F238E27FC236}">
              <a16:creationId xmlns:a16="http://schemas.microsoft.com/office/drawing/2014/main" id="{00000000-0008-0000-0A00-000007000000}"/>
            </a:ext>
          </a:extLst>
        </xdr:cNvPr>
        <xdr:cNvSpPr/>
      </xdr:nvSpPr>
      <xdr:spPr>
        <a:xfrm>
          <a:off x="2717800" y="3390900"/>
          <a:ext cx="3200400" cy="701040"/>
        </a:xfrm>
        <a:prstGeom prst="chevron">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r-TR" sz="2400" b="1">
              <a:solidFill>
                <a:schemeClr val="tx1"/>
              </a:solidFill>
            </a:rPr>
            <a:t>TEMEL</a:t>
          </a:r>
          <a:r>
            <a:rPr lang="tr-TR" sz="2400" b="1" baseline="0">
              <a:solidFill>
                <a:schemeClr val="tx1"/>
              </a:solidFill>
            </a:rPr>
            <a:t> SEVİYE</a:t>
          </a:r>
          <a:endParaRPr lang="tr-TR" sz="2400" b="1">
            <a:solidFill>
              <a:schemeClr val="tx1"/>
            </a:solidFill>
          </a:endParaRPr>
        </a:p>
      </xdr:txBody>
    </xdr:sp>
    <xdr:clientData/>
  </xdr:twoCellAnchor>
  <xdr:twoCellAnchor>
    <xdr:from>
      <xdr:col>2</xdr:col>
      <xdr:colOff>50800</xdr:colOff>
      <xdr:row>16</xdr:row>
      <xdr:rowOff>76200</xdr:rowOff>
    </xdr:from>
    <xdr:to>
      <xdr:col>3</xdr:col>
      <xdr:colOff>609600</xdr:colOff>
      <xdr:row>18</xdr:row>
      <xdr:rowOff>203200</xdr:rowOff>
    </xdr:to>
    <xdr:sp macro="" textlink="">
      <xdr:nvSpPr>
        <xdr:cNvPr id="8" name="Beşgen 7">
          <a:extLst>
            <a:ext uri="{FF2B5EF4-FFF2-40B4-BE49-F238E27FC236}">
              <a16:creationId xmlns:a16="http://schemas.microsoft.com/office/drawing/2014/main" id="{00000000-0008-0000-0A00-000008000000}"/>
            </a:ext>
          </a:extLst>
        </xdr:cNvPr>
        <xdr:cNvSpPr/>
      </xdr:nvSpPr>
      <xdr:spPr>
        <a:xfrm>
          <a:off x="1536700" y="4488180"/>
          <a:ext cx="1435100" cy="675640"/>
        </a:xfrm>
        <a:prstGeom prst="homePlat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400" b="1">
              <a:solidFill>
                <a:schemeClr val="tx1"/>
              </a:solidFill>
            </a:rPr>
            <a:t>51-70</a:t>
          </a:r>
        </a:p>
      </xdr:txBody>
    </xdr:sp>
    <xdr:clientData/>
  </xdr:twoCellAnchor>
  <xdr:twoCellAnchor>
    <xdr:from>
      <xdr:col>3</xdr:col>
      <xdr:colOff>317500</xdr:colOff>
      <xdr:row>16</xdr:row>
      <xdr:rowOff>63500</xdr:rowOff>
    </xdr:from>
    <xdr:to>
      <xdr:col>6</xdr:col>
      <xdr:colOff>889000</xdr:colOff>
      <xdr:row>18</xdr:row>
      <xdr:rowOff>215900</xdr:rowOff>
    </xdr:to>
    <xdr:sp macro="" textlink="">
      <xdr:nvSpPr>
        <xdr:cNvPr id="9" name="Köşeli Çift Ayraç 8">
          <a:extLst>
            <a:ext uri="{FF2B5EF4-FFF2-40B4-BE49-F238E27FC236}">
              <a16:creationId xmlns:a16="http://schemas.microsoft.com/office/drawing/2014/main" id="{00000000-0008-0000-0A00-000009000000}"/>
            </a:ext>
          </a:extLst>
        </xdr:cNvPr>
        <xdr:cNvSpPr/>
      </xdr:nvSpPr>
      <xdr:spPr>
        <a:xfrm>
          <a:off x="2679700" y="4475480"/>
          <a:ext cx="3200400" cy="701040"/>
        </a:xfrm>
        <a:prstGeom prst="chevron">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r-TR" sz="2400" b="1">
              <a:solidFill>
                <a:schemeClr val="tx1"/>
              </a:solidFill>
            </a:rPr>
            <a:t>GELİŞİME AÇIK</a:t>
          </a:r>
        </a:p>
      </xdr:txBody>
    </xdr:sp>
    <xdr:clientData/>
  </xdr:twoCellAnchor>
  <xdr:twoCellAnchor>
    <xdr:from>
      <xdr:col>2</xdr:col>
      <xdr:colOff>76200</xdr:colOff>
      <xdr:row>20</xdr:row>
      <xdr:rowOff>101600</xdr:rowOff>
    </xdr:from>
    <xdr:to>
      <xdr:col>3</xdr:col>
      <xdr:colOff>635000</xdr:colOff>
      <xdr:row>22</xdr:row>
      <xdr:rowOff>228600</xdr:rowOff>
    </xdr:to>
    <xdr:sp macro="" textlink="">
      <xdr:nvSpPr>
        <xdr:cNvPr id="10" name="Beşgen 9">
          <a:extLst>
            <a:ext uri="{FF2B5EF4-FFF2-40B4-BE49-F238E27FC236}">
              <a16:creationId xmlns:a16="http://schemas.microsoft.com/office/drawing/2014/main" id="{00000000-0008-0000-0A00-00000A000000}"/>
            </a:ext>
          </a:extLst>
        </xdr:cNvPr>
        <xdr:cNvSpPr/>
      </xdr:nvSpPr>
      <xdr:spPr>
        <a:xfrm>
          <a:off x="1562100" y="5610860"/>
          <a:ext cx="1435100" cy="675640"/>
        </a:xfrm>
        <a:prstGeom prst="homePlat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400" b="1">
              <a:solidFill>
                <a:schemeClr val="tx1"/>
              </a:solidFill>
            </a:rPr>
            <a:t>71-85</a:t>
          </a:r>
        </a:p>
      </xdr:txBody>
    </xdr:sp>
    <xdr:clientData/>
  </xdr:twoCellAnchor>
  <xdr:twoCellAnchor>
    <xdr:from>
      <xdr:col>3</xdr:col>
      <xdr:colOff>342900</xdr:colOff>
      <xdr:row>20</xdr:row>
      <xdr:rowOff>88900</xdr:rowOff>
    </xdr:from>
    <xdr:to>
      <xdr:col>6</xdr:col>
      <xdr:colOff>914400</xdr:colOff>
      <xdr:row>22</xdr:row>
      <xdr:rowOff>241300</xdr:rowOff>
    </xdr:to>
    <xdr:sp macro="" textlink="">
      <xdr:nvSpPr>
        <xdr:cNvPr id="11" name="Köşeli Çift Ayraç 10">
          <a:extLst>
            <a:ext uri="{FF2B5EF4-FFF2-40B4-BE49-F238E27FC236}">
              <a16:creationId xmlns:a16="http://schemas.microsoft.com/office/drawing/2014/main" id="{00000000-0008-0000-0A00-00000B000000}"/>
            </a:ext>
          </a:extLst>
        </xdr:cNvPr>
        <xdr:cNvSpPr/>
      </xdr:nvSpPr>
      <xdr:spPr>
        <a:xfrm>
          <a:off x="2705100" y="5598160"/>
          <a:ext cx="3200400" cy="701040"/>
        </a:xfrm>
        <a:prstGeom prst="chevron">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r-TR" sz="2400" b="1">
              <a:solidFill>
                <a:schemeClr val="tx1"/>
              </a:solidFill>
            </a:rPr>
            <a:t>SÜRDÜRÜLEBİLİR</a:t>
          </a:r>
        </a:p>
      </xdr:txBody>
    </xdr:sp>
    <xdr:clientData/>
  </xdr:twoCellAnchor>
  <xdr:twoCellAnchor>
    <xdr:from>
      <xdr:col>2</xdr:col>
      <xdr:colOff>63500</xdr:colOff>
      <xdr:row>24</xdr:row>
      <xdr:rowOff>63500</xdr:rowOff>
    </xdr:from>
    <xdr:to>
      <xdr:col>3</xdr:col>
      <xdr:colOff>622300</xdr:colOff>
      <xdr:row>26</xdr:row>
      <xdr:rowOff>190500</xdr:rowOff>
    </xdr:to>
    <xdr:sp macro="" textlink="">
      <xdr:nvSpPr>
        <xdr:cNvPr id="12" name="Beşgen 11">
          <a:extLst>
            <a:ext uri="{FF2B5EF4-FFF2-40B4-BE49-F238E27FC236}">
              <a16:creationId xmlns:a16="http://schemas.microsoft.com/office/drawing/2014/main" id="{00000000-0008-0000-0A00-00000C000000}"/>
            </a:ext>
          </a:extLst>
        </xdr:cNvPr>
        <xdr:cNvSpPr/>
      </xdr:nvSpPr>
      <xdr:spPr>
        <a:xfrm>
          <a:off x="1549400" y="6670040"/>
          <a:ext cx="1435100" cy="67564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400" b="1">
              <a:solidFill>
                <a:schemeClr val="tx1"/>
              </a:solidFill>
            </a:rPr>
            <a:t>86-100</a:t>
          </a:r>
        </a:p>
      </xdr:txBody>
    </xdr:sp>
    <xdr:clientData/>
  </xdr:twoCellAnchor>
  <xdr:twoCellAnchor>
    <xdr:from>
      <xdr:col>3</xdr:col>
      <xdr:colOff>330200</xdr:colOff>
      <xdr:row>24</xdr:row>
      <xdr:rowOff>50800</xdr:rowOff>
    </xdr:from>
    <xdr:to>
      <xdr:col>6</xdr:col>
      <xdr:colOff>901700</xdr:colOff>
      <xdr:row>26</xdr:row>
      <xdr:rowOff>203200</xdr:rowOff>
    </xdr:to>
    <xdr:sp macro="" textlink="">
      <xdr:nvSpPr>
        <xdr:cNvPr id="13" name="Köşeli Çift Ayraç 12">
          <a:extLst>
            <a:ext uri="{FF2B5EF4-FFF2-40B4-BE49-F238E27FC236}">
              <a16:creationId xmlns:a16="http://schemas.microsoft.com/office/drawing/2014/main" id="{00000000-0008-0000-0A00-00000D000000}"/>
            </a:ext>
          </a:extLst>
        </xdr:cNvPr>
        <xdr:cNvSpPr/>
      </xdr:nvSpPr>
      <xdr:spPr>
        <a:xfrm>
          <a:off x="2692400" y="6657340"/>
          <a:ext cx="3200400" cy="701040"/>
        </a:xfrm>
        <a:prstGeom prst="chevron">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r-TR" sz="2400" b="1">
              <a:solidFill>
                <a:schemeClr val="tx1"/>
              </a:solidFill>
            </a:rPr>
            <a:t>MÜKEMMELLİK</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24</xdr:row>
      <xdr:rowOff>18145</xdr:rowOff>
    </xdr:from>
    <xdr:to>
      <xdr:col>9</xdr:col>
      <xdr:colOff>129540</xdr:colOff>
      <xdr:row>24</xdr:row>
      <xdr:rowOff>137888</xdr:rowOff>
    </xdr:to>
    <xdr:pic>
      <xdr:nvPicPr>
        <xdr:cNvPr id="4" name="Resim 3">
          <a:extLst>
            <a:ext uri="{FF2B5EF4-FFF2-40B4-BE49-F238E27FC236}">
              <a16:creationId xmlns:a16="http://schemas.microsoft.com/office/drawing/2014/main" id="{0BE5E72B-5611-3242-A52D-8F9D5C2729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894288"/>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91680</xdr:rowOff>
    </xdr:from>
    <xdr:to>
      <xdr:col>5</xdr:col>
      <xdr:colOff>34107</xdr:colOff>
      <xdr:row>26</xdr:row>
      <xdr:rowOff>172025</xdr:rowOff>
    </xdr:to>
    <xdr:pic>
      <xdr:nvPicPr>
        <xdr:cNvPr id="5" name="Resim 4">
          <a:extLst>
            <a:ext uri="{FF2B5EF4-FFF2-40B4-BE49-F238E27FC236}">
              <a16:creationId xmlns:a16="http://schemas.microsoft.com/office/drawing/2014/main" id="{D39FC06E-9ACB-BD4A-87E2-7C3DE6D759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6967823"/>
          <a:ext cx="2921881" cy="66091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103415</xdr:colOff>
      <xdr:row>0</xdr:row>
      <xdr:rowOff>175986</xdr:rowOff>
    </xdr:from>
    <xdr:to>
      <xdr:col>4</xdr:col>
      <xdr:colOff>635000</xdr:colOff>
      <xdr:row>3</xdr:row>
      <xdr:rowOff>212461</xdr:rowOff>
    </xdr:to>
    <xdr:pic>
      <xdr:nvPicPr>
        <xdr:cNvPr id="2" name="Resim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3015" y="175986"/>
          <a:ext cx="3160485" cy="798475"/>
        </a:xfrm>
        <a:prstGeom prst="rect">
          <a:avLst/>
        </a:prstGeom>
      </xdr:spPr>
    </xdr:pic>
    <xdr:clientData/>
  </xdr:twoCellAnchor>
  <xdr:twoCellAnchor editAs="oneCell">
    <xdr:from>
      <xdr:col>1</xdr:col>
      <xdr:colOff>88900</xdr:colOff>
      <xdr:row>3</xdr:row>
      <xdr:rowOff>266700</xdr:rowOff>
    </xdr:from>
    <xdr:to>
      <xdr:col>7</xdr:col>
      <xdr:colOff>723900</xdr:colOff>
      <xdr:row>4</xdr:row>
      <xdr:rowOff>76200</xdr:rowOff>
    </xdr:to>
    <xdr:pic>
      <xdr:nvPicPr>
        <xdr:cNvPr id="3" name="Resim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 y="1028700"/>
          <a:ext cx="602996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103415</xdr:colOff>
      <xdr:row>0</xdr:row>
      <xdr:rowOff>175986</xdr:rowOff>
    </xdr:from>
    <xdr:to>
      <xdr:col>4</xdr:col>
      <xdr:colOff>635000</xdr:colOff>
      <xdr:row>3</xdr:row>
      <xdr:rowOff>212461</xdr:rowOff>
    </xdr:to>
    <xdr:pic>
      <xdr:nvPicPr>
        <xdr:cNvPr id="2" name="Resim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3015" y="175986"/>
          <a:ext cx="3160485" cy="798475"/>
        </a:xfrm>
        <a:prstGeom prst="rect">
          <a:avLst/>
        </a:prstGeom>
      </xdr:spPr>
    </xdr:pic>
    <xdr:clientData/>
  </xdr:twoCellAnchor>
  <xdr:twoCellAnchor editAs="oneCell">
    <xdr:from>
      <xdr:col>1</xdr:col>
      <xdr:colOff>88900</xdr:colOff>
      <xdr:row>3</xdr:row>
      <xdr:rowOff>266700</xdr:rowOff>
    </xdr:from>
    <xdr:to>
      <xdr:col>7</xdr:col>
      <xdr:colOff>723900</xdr:colOff>
      <xdr:row>4</xdr:row>
      <xdr:rowOff>76200</xdr:rowOff>
    </xdr:to>
    <xdr:pic>
      <xdr:nvPicPr>
        <xdr:cNvPr id="3" name="Resim 2">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 y="1028700"/>
          <a:ext cx="602996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103415</xdr:colOff>
      <xdr:row>0</xdr:row>
      <xdr:rowOff>175986</xdr:rowOff>
    </xdr:from>
    <xdr:to>
      <xdr:col>4</xdr:col>
      <xdr:colOff>635000</xdr:colOff>
      <xdr:row>3</xdr:row>
      <xdr:rowOff>212461</xdr:rowOff>
    </xdr:to>
    <xdr:pic>
      <xdr:nvPicPr>
        <xdr:cNvPr id="2" name="Resim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3015" y="175986"/>
          <a:ext cx="3160485" cy="798475"/>
        </a:xfrm>
        <a:prstGeom prst="rect">
          <a:avLst/>
        </a:prstGeom>
      </xdr:spPr>
    </xdr:pic>
    <xdr:clientData/>
  </xdr:twoCellAnchor>
  <xdr:twoCellAnchor editAs="oneCell">
    <xdr:from>
      <xdr:col>1</xdr:col>
      <xdr:colOff>88900</xdr:colOff>
      <xdr:row>3</xdr:row>
      <xdr:rowOff>266700</xdr:rowOff>
    </xdr:from>
    <xdr:to>
      <xdr:col>7</xdr:col>
      <xdr:colOff>723900</xdr:colOff>
      <xdr:row>4</xdr:row>
      <xdr:rowOff>76200</xdr:rowOff>
    </xdr:to>
    <xdr:pic>
      <xdr:nvPicPr>
        <xdr:cNvPr id="3" name="Resim 2">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 y="1028700"/>
          <a:ext cx="602996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103415</xdr:colOff>
      <xdr:row>0</xdr:row>
      <xdr:rowOff>175986</xdr:rowOff>
    </xdr:from>
    <xdr:to>
      <xdr:col>4</xdr:col>
      <xdr:colOff>635000</xdr:colOff>
      <xdr:row>3</xdr:row>
      <xdr:rowOff>212461</xdr:rowOff>
    </xdr:to>
    <xdr:pic>
      <xdr:nvPicPr>
        <xdr:cNvPr id="2" name="Resim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3015" y="175986"/>
          <a:ext cx="3160485" cy="798475"/>
        </a:xfrm>
        <a:prstGeom prst="rect">
          <a:avLst/>
        </a:prstGeom>
      </xdr:spPr>
    </xdr:pic>
    <xdr:clientData/>
  </xdr:twoCellAnchor>
  <xdr:twoCellAnchor editAs="oneCell">
    <xdr:from>
      <xdr:col>1</xdr:col>
      <xdr:colOff>88900</xdr:colOff>
      <xdr:row>3</xdr:row>
      <xdr:rowOff>266700</xdr:rowOff>
    </xdr:from>
    <xdr:to>
      <xdr:col>7</xdr:col>
      <xdr:colOff>723900</xdr:colOff>
      <xdr:row>4</xdr:row>
      <xdr:rowOff>76200</xdr:rowOff>
    </xdr:to>
    <xdr:pic>
      <xdr:nvPicPr>
        <xdr:cNvPr id="3" name="Resim 2">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 y="1028700"/>
          <a:ext cx="602996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0</xdr:colOff>
      <xdr:row>24</xdr:row>
      <xdr:rowOff>199573</xdr:rowOff>
    </xdr:from>
    <xdr:to>
      <xdr:col>9</xdr:col>
      <xdr:colOff>129540</xdr:colOff>
      <xdr:row>25</xdr:row>
      <xdr:rowOff>29030</xdr:rowOff>
    </xdr:to>
    <xdr:pic>
      <xdr:nvPicPr>
        <xdr:cNvPr id="4" name="Resim 3">
          <a:extLst>
            <a:ext uri="{FF2B5EF4-FFF2-40B4-BE49-F238E27FC236}">
              <a16:creationId xmlns:a16="http://schemas.microsoft.com/office/drawing/2014/main" id="{7CEA3112-C9C9-494B-A98E-9532CF585C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7075716"/>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273108</xdr:rowOff>
    </xdr:from>
    <xdr:to>
      <xdr:col>5</xdr:col>
      <xdr:colOff>34107</xdr:colOff>
      <xdr:row>27</xdr:row>
      <xdr:rowOff>63167</xdr:rowOff>
    </xdr:to>
    <xdr:pic>
      <xdr:nvPicPr>
        <xdr:cNvPr id="5" name="Resim 4">
          <a:extLst>
            <a:ext uri="{FF2B5EF4-FFF2-40B4-BE49-F238E27FC236}">
              <a16:creationId xmlns:a16="http://schemas.microsoft.com/office/drawing/2014/main" id="{814D8795-E235-FE4E-BF2E-EEAF5C54A4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149251"/>
          <a:ext cx="2921881" cy="66091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72572</xdr:colOff>
      <xdr:row>24</xdr:row>
      <xdr:rowOff>72571</xdr:rowOff>
    </xdr:from>
    <xdr:to>
      <xdr:col>9</xdr:col>
      <xdr:colOff>202112</xdr:colOff>
      <xdr:row>24</xdr:row>
      <xdr:rowOff>192314</xdr:rowOff>
    </xdr:to>
    <xdr:pic>
      <xdr:nvPicPr>
        <xdr:cNvPr id="6" name="Resim 5">
          <a:extLst>
            <a:ext uri="{FF2B5EF4-FFF2-40B4-BE49-F238E27FC236}">
              <a16:creationId xmlns:a16="http://schemas.microsoft.com/office/drawing/2014/main" id="{6A952AE3-8BBF-0E43-9E2D-07EDD02DB0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572" y="6948714"/>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123941</xdr:colOff>
      <xdr:row>24</xdr:row>
      <xdr:rowOff>146106</xdr:rowOff>
    </xdr:from>
    <xdr:to>
      <xdr:col>5</xdr:col>
      <xdr:colOff>106679</xdr:colOff>
      <xdr:row>26</xdr:row>
      <xdr:rowOff>226451</xdr:rowOff>
    </xdr:to>
    <xdr:pic>
      <xdr:nvPicPr>
        <xdr:cNvPr id="7" name="Resim 6">
          <a:extLst>
            <a:ext uri="{FF2B5EF4-FFF2-40B4-BE49-F238E27FC236}">
              <a16:creationId xmlns:a16="http://schemas.microsoft.com/office/drawing/2014/main" id="{9AE2A182-668C-374C-9615-B74CB45167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2941" y="7022249"/>
          <a:ext cx="2921881" cy="66091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0</xdr:colOff>
      <xdr:row>24</xdr:row>
      <xdr:rowOff>90717</xdr:rowOff>
    </xdr:from>
    <xdr:to>
      <xdr:col>9</xdr:col>
      <xdr:colOff>129540</xdr:colOff>
      <xdr:row>24</xdr:row>
      <xdr:rowOff>210460</xdr:rowOff>
    </xdr:to>
    <xdr:pic>
      <xdr:nvPicPr>
        <xdr:cNvPr id="4" name="Resim 3">
          <a:extLst>
            <a:ext uri="{FF2B5EF4-FFF2-40B4-BE49-F238E27FC236}">
              <a16:creationId xmlns:a16="http://schemas.microsoft.com/office/drawing/2014/main" id="{DD9DF8DF-123A-184B-8F10-89AEC48843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966860"/>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164252</xdr:rowOff>
    </xdr:from>
    <xdr:to>
      <xdr:col>5</xdr:col>
      <xdr:colOff>34107</xdr:colOff>
      <xdr:row>26</xdr:row>
      <xdr:rowOff>244597</xdr:rowOff>
    </xdr:to>
    <xdr:pic>
      <xdr:nvPicPr>
        <xdr:cNvPr id="5" name="Resim 4">
          <a:extLst>
            <a:ext uri="{FF2B5EF4-FFF2-40B4-BE49-F238E27FC236}">
              <a16:creationId xmlns:a16="http://schemas.microsoft.com/office/drawing/2014/main" id="{C1A17355-4636-4A4D-9ADF-B3C1B5CDE21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40395"/>
          <a:ext cx="2921881" cy="66091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0</xdr:colOff>
      <xdr:row>24</xdr:row>
      <xdr:rowOff>127002</xdr:rowOff>
    </xdr:from>
    <xdr:to>
      <xdr:col>9</xdr:col>
      <xdr:colOff>129540</xdr:colOff>
      <xdr:row>24</xdr:row>
      <xdr:rowOff>246745</xdr:rowOff>
    </xdr:to>
    <xdr:pic>
      <xdr:nvPicPr>
        <xdr:cNvPr id="4" name="Resim 3">
          <a:extLst>
            <a:ext uri="{FF2B5EF4-FFF2-40B4-BE49-F238E27FC236}">
              <a16:creationId xmlns:a16="http://schemas.microsoft.com/office/drawing/2014/main" id="{57C73AAE-799A-8B46-9142-181D4EC1C2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7003145"/>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200537</xdr:rowOff>
    </xdr:from>
    <xdr:to>
      <xdr:col>5</xdr:col>
      <xdr:colOff>34107</xdr:colOff>
      <xdr:row>26</xdr:row>
      <xdr:rowOff>280882</xdr:rowOff>
    </xdr:to>
    <xdr:pic>
      <xdr:nvPicPr>
        <xdr:cNvPr id="5" name="Resim 4">
          <a:extLst>
            <a:ext uri="{FF2B5EF4-FFF2-40B4-BE49-F238E27FC236}">
              <a16:creationId xmlns:a16="http://schemas.microsoft.com/office/drawing/2014/main" id="{2194C54A-C74A-2F43-A34C-044EA0F392E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76680"/>
          <a:ext cx="2921881" cy="66091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0</xdr:colOff>
      <xdr:row>24</xdr:row>
      <xdr:rowOff>54431</xdr:rowOff>
    </xdr:from>
    <xdr:to>
      <xdr:col>9</xdr:col>
      <xdr:colOff>129540</xdr:colOff>
      <xdr:row>24</xdr:row>
      <xdr:rowOff>174174</xdr:rowOff>
    </xdr:to>
    <xdr:pic>
      <xdr:nvPicPr>
        <xdr:cNvPr id="4" name="Resim 3">
          <a:extLst>
            <a:ext uri="{FF2B5EF4-FFF2-40B4-BE49-F238E27FC236}">
              <a16:creationId xmlns:a16="http://schemas.microsoft.com/office/drawing/2014/main" id="{708C8B6B-D86C-BD45-91C3-94BEE1BBC7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930574"/>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127966</xdr:rowOff>
    </xdr:from>
    <xdr:to>
      <xdr:col>5</xdr:col>
      <xdr:colOff>34107</xdr:colOff>
      <xdr:row>26</xdr:row>
      <xdr:rowOff>208311</xdr:rowOff>
    </xdr:to>
    <xdr:pic>
      <xdr:nvPicPr>
        <xdr:cNvPr id="5" name="Resim 4">
          <a:extLst>
            <a:ext uri="{FF2B5EF4-FFF2-40B4-BE49-F238E27FC236}">
              <a16:creationId xmlns:a16="http://schemas.microsoft.com/office/drawing/2014/main" id="{5757EBB1-C613-A14A-86D4-D422F08ABF7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04109"/>
          <a:ext cx="2921881" cy="66091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0</xdr:colOff>
      <xdr:row>24</xdr:row>
      <xdr:rowOff>54431</xdr:rowOff>
    </xdr:from>
    <xdr:to>
      <xdr:col>9</xdr:col>
      <xdr:colOff>129540</xdr:colOff>
      <xdr:row>24</xdr:row>
      <xdr:rowOff>174174</xdr:rowOff>
    </xdr:to>
    <xdr:pic>
      <xdr:nvPicPr>
        <xdr:cNvPr id="6" name="Resim 5">
          <a:extLst>
            <a:ext uri="{FF2B5EF4-FFF2-40B4-BE49-F238E27FC236}">
              <a16:creationId xmlns:a16="http://schemas.microsoft.com/office/drawing/2014/main" id="{1C8E3ED2-ADF4-B34B-B001-94DD29BCB8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930574"/>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127966</xdr:rowOff>
    </xdr:from>
    <xdr:to>
      <xdr:col>5</xdr:col>
      <xdr:colOff>34107</xdr:colOff>
      <xdr:row>26</xdr:row>
      <xdr:rowOff>208311</xdr:rowOff>
    </xdr:to>
    <xdr:pic>
      <xdr:nvPicPr>
        <xdr:cNvPr id="7" name="Resim 6">
          <a:extLst>
            <a:ext uri="{FF2B5EF4-FFF2-40B4-BE49-F238E27FC236}">
              <a16:creationId xmlns:a16="http://schemas.microsoft.com/office/drawing/2014/main" id="{D0A7DA89-BE27-E14A-AD54-AC43F4C2F7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04109"/>
          <a:ext cx="2921881" cy="66091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editAs="oneCell">
    <xdr:from>
      <xdr:col>2</xdr:col>
      <xdr:colOff>0</xdr:colOff>
      <xdr:row>24</xdr:row>
      <xdr:rowOff>54431</xdr:rowOff>
    </xdr:from>
    <xdr:to>
      <xdr:col>9</xdr:col>
      <xdr:colOff>129540</xdr:colOff>
      <xdr:row>24</xdr:row>
      <xdr:rowOff>174174</xdr:rowOff>
    </xdr:to>
    <xdr:pic>
      <xdr:nvPicPr>
        <xdr:cNvPr id="4" name="Resim 3">
          <a:extLst>
            <a:ext uri="{FF2B5EF4-FFF2-40B4-BE49-F238E27FC236}">
              <a16:creationId xmlns:a16="http://schemas.microsoft.com/office/drawing/2014/main" id="{AF4D99A9-20D6-E741-9C77-F2D21A67C2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930574"/>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127966</xdr:rowOff>
    </xdr:from>
    <xdr:to>
      <xdr:col>5</xdr:col>
      <xdr:colOff>34107</xdr:colOff>
      <xdr:row>26</xdr:row>
      <xdr:rowOff>208311</xdr:rowOff>
    </xdr:to>
    <xdr:pic>
      <xdr:nvPicPr>
        <xdr:cNvPr id="5" name="Resim 4">
          <a:extLst>
            <a:ext uri="{FF2B5EF4-FFF2-40B4-BE49-F238E27FC236}">
              <a16:creationId xmlns:a16="http://schemas.microsoft.com/office/drawing/2014/main" id="{45DEB02A-4722-AA4B-813B-CB2FA2E194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04109"/>
          <a:ext cx="2921881" cy="660916"/>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2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2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editAs="oneCell">
    <xdr:from>
      <xdr:col>2</xdr:col>
      <xdr:colOff>0</xdr:colOff>
      <xdr:row>24</xdr:row>
      <xdr:rowOff>72574</xdr:rowOff>
    </xdr:from>
    <xdr:to>
      <xdr:col>9</xdr:col>
      <xdr:colOff>129540</xdr:colOff>
      <xdr:row>24</xdr:row>
      <xdr:rowOff>192317</xdr:rowOff>
    </xdr:to>
    <xdr:pic>
      <xdr:nvPicPr>
        <xdr:cNvPr id="4" name="Resim 3">
          <a:extLst>
            <a:ext uri="{FF2B5EF4-FFF2-40B4-BE49-F238E27FC236}">
              <a16:creationId xmlns:a16="http://schemas.microsoft.com/office/drawing/2014/main" id="{2D9C55DE-70CE-EA42-9151-F2167B20ED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948717"/>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146109</xdr:rowOff>
    </xdr:from>
    <xdr:to>
      <xdr:col>5</xdr:col>
      <xdr:colOff>34107</xdr:colOff>
      <xdr:row>26</xdr:row>
      <xdr:rowOff>226454</xdr:rowOff>
    </xdr:to>
    <xdr:pic>
      <xdr:nvPicPr>
        <xdr:cNvPr id="5" name="Resim 4">
          <a:extLst>
            <a:ext uri="{FF2B5EF4-FFF2-40B4-BE49-F238E27FC236}">
              <a16:creationId xmlns:a16="http://schemas.microsoft.com/office/drawing/2014/main" id="{41D7381A-59C9-0743-9E4A-01E8EE9A46F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22252"/>
          <a:ext cx="2921881" cy="660916"/>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2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2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editAs="oneCell">
    <xdr:from>
      <xdr:col>2</xdr:col>
      <xdr:colOff>0</xdr:colOff>
      <xdr:row>24</xdr:row>
      <xdr:rowOff>54431</xdr:rowOff>
    </xdr:from>
    <xdr:to>
      <xdr:col>9</xdr:col>
      <xdr:colOff>129540</xdr:colOff>
      <xdr:row>24</xdr:row>
      <xdr:rowOff>174174</xdr:rowOff>
    </xdr:to>
    <xdr:pic>
      <xdr:nvPicPr>
        <xdr:cNvPr id="4" name="Resim 3">
          <a:extLst>
            <a:ext uri="{FF2B5EF4-FFF2-40B4-BE49-F238E27FC236}">
              <a16:creationId xmlns:a16="http://schemas.microsoft.com/office/drawing/2014/main" id="{9A2CECDA-3ADF-5B49-80C5-CAF63A083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930574"/>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127966</xdr:rowOff>
    </xdr:from>
    <xdr:to>
      <xdr:col>5</xdr:col>
      <xdr:colOff>34107</xdr:colOff>
      <xdr:row>26</xdr:row>
      <xdr:rowOff>208311</xdr:rowOff>
    </xdr:to>
    <xdr:pic>
      <xdr:nvPicPr>
        <xdr:cNvPr id="5" name="Resim 4">
          <a:extLst>
            <a:ext uri="{FF2B5EF4-FFF2-40B4-BE49-F238E27FC236}">
              <a16:creationId xmlns:a16="http://schemas.microsoft.com/office/drawing/2014/main" id="{4DD23301-33C0-5043-A6CC-6BA2E1C2D2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04109"/>
          <a:ext cx="2921881" cy="660916"/>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2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2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editAs="oneCell">
    <xdr:from>
      <xdr:col>2</xdr:col>
      <xdr:colOff>0</xdr:colOff>
      <xdr:row>24</xdr:row>
      <xdr:rowOff>72574</xdr:rowOff>
    </xdr:from>
    <xdr:to>
      <xdr:col>9</xdr:col>
      <xdr:colOff>129540</xdr:colOff>
      <xdr:row>24</xdr:row>
      <xdr:rowOff>192317</xdr:rowOff>
    </xdr:to>
    <xdr:pic>
      <xdr:nvPicPr>
        <xdr:cNvPr id="4" name="Resim 3">
          <a:extLst>
            <a:ext uri="{FF2B5EF4-FFF2-40B4-BE49-F238E27FC236}">
              <a16:creationId xmlns:a16="http://schemas.microsoft.com/office/drawing/2014/main" id="{5A3ABCF2-11CB-CB41-BFB1-9087FDDCB8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948717"/>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146109</xdr:rowOff>
    </xdr:from>
    <xdr:to>
      <xdr:col>5</xdr:col>
      <xdr:colOff>34107</xdr:colOff>
      <xdr:row>26</xdr:row>
      <xdr:rowOff>226454</xdr:rowOff>
    </xdr:to>
    <xdr:pic>
      <xdr:nvPicPr>
        <xdr:cNvPr id="5" name="Resim 4">
          <a:extLst>
            <a:ext uri="{FF2B5EF4-FFF2-40B4-BE49-F238E27FC236}">
              <a16:creationId xmlns:a16="http://schemas.microsoft.com/office/drawing/2014/main" id="{E17CDD40-E8C3-2442-BC3A-6999CDBA59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22252"/>
          <a:ext cx="2921881" cy="660916"/>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2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6.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2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editAs="oneCell">
    <xdr:from>
      <xdr:col>2</xdr:col>
      <xdr:colOff>72571</xdr:colOff>
      <xdr:row>24</xdr:row>
      <xdr:rowOff>108857</xdr:rowOff>
    </xdr:from>
    <xdr:to>
      <xdr:col>9</xdr:col>
      <xdr:colOff>202111</xdr:colOff>
      <xdr:row>24</xdr:row>
      <xdr:rowOff>228600</xdr:rowOff>
    </xdr:to>
    <xdr:pic>
      <xdr:nvPicPr>
        <xdr:cNvPr id="4" name="Resim 3">
          <a:extLst>
            <a:ext uri="{FF2B5EF4-FFF2-40B4-BE49-F238E27FC236}">
              <a16:creationId xmlns:a16="http://schemas.microsoft.com/office/drawing/2014/main" id="{1A843DBA-8F5B-7C41-819B-3B108371C0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571" y="6985000"/>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123940</xdr:colOff>
      <xdr:row>24</xdr:row>
      <xdr:rowOff>182392</xdr:rowOff>
    </xdr:from>
    <xdr:to>
      <xdr:col>5</xdr:col>
      <xdr:colOff>106678</xdr:colOff>
      <xdr:row>26</xdr:row>
      <xdr:rowOff>262737</xdr:rowOff>
    </xdr:to>
    <xdr:pic>
      <xdr:nvPicPr>
        <xdr:cNvPr id="5" name="Resim 4">
          <a:extLst>
            <a:ext uri="{FF2B5EF4-FFF2-40B4-BE49-F238E27FC236}">
              <a16:creationId xmlns:a16="http://schemas.microsoft.com/office/drawing/2014/main" id="{3F4CED00-DE62-3C40-918C-FC22A72FE02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2940" y="7058535"/>
          <a:ext cx="2921881" cy="660916"/>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3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9.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3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0.xml><?xml version="1.0" encoding="utf-8"?>
<xdr:wsDr xmlns:xdr="http://schemas.openxmlformats.org/drawingml/2006/spreadsheetDrawing" xmlns:a="http://schemas.openxmlformats.org/drawingml/2006/main">
  <xdr:twoCellAnchor editAs="oneCell">
    <xdr:from>
      <xdr:col>2</xdr:col>
      <xdr:colOff>0</xdr:colOff>
      <xdr:row>24</xdr:row>
      <xdr:rowOff>127002</xdr:rowOff>
    </xdr:from>
    <xdr:to>
      <xdr:col>9</xdr:col>
      <xdr:colOff>129540</xdr:colOff>
      <xdr:row>24</xdr:row>
      <xdr:rowOff>246745</xdr:rowOff>
    </xdr:to>
    <xdr:pic>
      <xdr:nvPicPr>
        <xdr:cNvPr id="4" name="Resim 3">
          <a:extLst>
            <a:ext uri="{FF2B5EF4-FFF2-40B4-BE49-F238E27FC236}">
              <a16:creationId xmlns:a16="http://schemas.microsoft.com/office/drawing/2014/main" id="{D5D158B8-DDCC-EB44-B1E9-251B56EBCF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7003145"/>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200537</xdr:rowOff>
    </xdr:from>
    <xdr:to>
      <xdr:col>5</xdr:col>
      <xdr:colOff>34107</xdr:colOff>
      <xdr:row>26</xdr:row>
      <xdr:rowOff>280882</xdr:rowOff>
    </xdr:to>
    <xdr:pic>
      <xdr:nvPicPr>
        <xdr:cNvPr id="5" name="Resim 4">
          <a:extLst>
            <a:ext uri="{FF2B5EF4-FFF2-40B4-BE49-F238E27FC236}">
              <a16:creationId xmlns:a16="http://schemas.microsoft.com/office/drawing/2014/main" id="{E249E273-515D-194D-9DD7-CBC93E8C2D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76680"/>
          <a:ext cx="2921881" cy="660916"/>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3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2.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3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0</xdr:colOff>
      <xdr:row>24</xdr:row>
      <xdr:rowOff>126999</xdr:rowOff>
    </xdr:from>
    <xdr:to>
      <xdr:col>9</xdr:col>
      <xdr:colOff>129540</xdr:colOff>
      <xdr:row>24</xdr:row>
      <xdr:rowOff>246742</xdr:rowOff>
    </xdr:to>
    <xdr:pic>
      <xdr:nvPicPr>
        <xdr:cNvPr id="4" name="Resim 3">
          <a:extLst>
            <a:ext uri="{FF2B5EF4-FFF2-40B4-BE49-F238E27FC236}">
              <a16:creationId xmlns:a16="http://schemas.microsoft.com/office/drawing/2014/main" id="{88D0F399-54CC-7945-956E-32B4B930D7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7003142"/>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200534</xdr:rowOff>
    </xdr:from>
    <xdr:to>
      <xdr:col>5</xdr:col>
      <xdr:colOff>34107</xdr:colOff>
      <xdr:row>26</xdr:row>
      <xdr:rowOff>280879</xdr:rowOff>
    </xdr:to>
    <xdr:pic>
      <xdr:nvPicPr>
        <xdr:cNvPr id="5" name="Resim 4">
          <a:extLst>
            <a:ext uri="{FF2B5EF4-FFF2-40B4-BE49-F238E27FC236}">
              <a16:creationId xmlns:a16="http://schemas.microsoft.com/office/drawing/2014/main" id="{26C6559D-AF68-6C42-B1A4-22DE540D7F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76677"/>
          <a:ext cx="2921881" cy="660916"/>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3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3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6.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3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7.xml><?xml version="1.0" encoding="utf-8"?>
<xdr:wsDr xmlns:xdr="http://schemas.openxmlformats.org/drawingml/2006/spreadsheetDrawing" xmlns:a="http://schemas.openxmlformats.org/drawingml/2006/main">
  <xdr:twoCellAnchor editAs="oneCell">
    <xdr:from>
      <xdr:col>2</xdr:col>
      <xdr:colOff>0</xdr:colOff>
      <xdr:row>24</xdr:row>
      <xdr:rowOff>108859</xdr:rowOff>
    </xdr:from>
    <xdr:to>
      <xdr:col>9</xdr:col>
      <xdr:colOff>129540</xdr:colOff>
      <xdr:row>24</xdr:row>
      <xdr:rowOff>228602</xdr:rowOff>
    </xdr:to>
    <xdr:pic>
      <xdr:nvPicPr>
        <xdr:cNvPr id="4" name="Resim 3">
          <a:extLst>
            <a:ext uri="{FF2B5EF4-FFF2-40B4-BE49-F238E27FC236}">
              <a16:creationId xmlns:a16="http://schemas.microsoft.com/office/drawing/2014/main" id="{A3028DCD-6F82-804E-818F-43236A06E2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985002"/>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182394</xdr:rowOff>
    </xdr:from>
    <xdr:to>
      <xdr:col>5</xdr:col>
      <xdr:colOff>34107</xdr:colOff>
      <xdr:row>26</xdr:row>
      <xdr:rowOff>262739</xdr:rowOff>
    </xdr:to>
    <xdr:pic>
      <xdr:nvPicPr>
        <xdr:cNvPr id="5" name="Resim 4">
          <a:extLst>
            <a:ext uri="{FF2B5EF4-FFF2-40B4-BE49-F238E27FC236}">
              <a16:creationId xmlns:a16="http://schemas.microsoft.com/office/drawing/2014/main" id="{3D45A0D3-FFF8-6844-89EC-725B6F513A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58537"/>
          <a:ext cx="2921881" cy="660916"/>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3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9.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3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0.xml><?xml version="1.0" encoding="utf-8"?>
<xdr:wsDr xmlns:xdr="http://schemas.openxmlformats.org/drawingml/2006/spreadsheetDrawing" xmlns:a="http://schemas.openxmlformats.org/drawingml/2006/main">
  <xdr:twoCellAnchor editAs="oneCell">
    <xdr:from>
      <xdr:col>2</xdr:col>
      <xdr:colOff>0</xdr:colOff>
      <xdr:row>24</xdr:row>
      <xdr:rowOff>90717</xdr:rowOff>
    </xdr:from>
    <xdr:to>
      <xdr:col>9</xdr:col>
      <xdr:colOff>129540</xdr:colOff>
      <xdr:row>24</xdr:row>
      <xdr:rowOff>210460</xdr:rowOff>
    </xdr:to>
    <xdr:pic>
      <xdr:nvPicPr>
        <xdr:cNvPr id="6" name="Resim 5">
          <a:extLst>
            <a:ext uri="{FF2B5EF4-FFF2-40B4-BE49-F238E27FC236}">
              <a16:creationId xmlns:a16="http://schemas.microsoft.com/office/drawing/2014/main" id="{2A4D8742-C0A3-DC4A-9760-9868D805C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966860"/>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164252</xdr:rowOff>
    </xdr:from>
    <xdr:to>
      <xdr:col>5</xdr:col>
      <xdr:colOff>34107</xdr:colOff>
      <xdr:row>26</xdr:row>
      <xdr:rowOff>244597</xdr:rowOff>
    </xdr:to>
    <xdr:pic>
      <xdr:nvPicPr>
        <xdr:cNvPr id="7" name="Resim 6">
          <a:extLst>
            <a:ext uri="{FF2B5EF4-FFF2-40B4-BE49-F238E27FC236}">
              <a16:creationId xmlns:a16="http://schemas.microsoft.com/office/drawing/2014/main" id="{005B93DD-E700-3E42-B3E1-ABE52C04C7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40395"/>
          <a:ext cx="2921881" cy="660916"/>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3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2.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3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3.xml><?xml version="1.0" encoding="utf-8"?>
<xdr:wsDr xmlns:xdr="http://schemas.openxmlformats.org/drawingml/2006/spreadsheetDrawing" xmlns:a="http://schemas.openxmlformats.org/drawingml/2006/main">
  <xdr:twoCellAnchor editAs="oneCell">
    <xdr:from>
      <xdr:col>2</xdr:col>
      <xdr:colOff>0</xdr:colOff>
      <xdr:row>24</xdr:row>
      <xdr:rowOff>72574</xdr:rowOff>
    </xdr:from>
    <xdr:to>
      <xdr:col>9</xdr:col>
      <xdr:colOff>129540</xdr:colOff>
      <xdr:row>24</xdr:row>
      <xdr:rowOff>192317</xdr:rowOff>
    </xdr:to>
    <xdr:pic>
      <xdr:nvPicPr>
        <xdr:cNvPr id="4" name="Resim 3">
          <a:extLst>
            <a:ext uri="{FF2B5EF4-FFF2-40B4-BE49-F238E27FC236}">
              <a16:creationId xmlns:a16="http://schemas.microsoft.com/office/drawing/2014/main" id="{1AE88AD8-A847-9641-A129-2B86174082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948717"/>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146109</xdr:rowOff>
    </xdr:from>
    <xdr:to>
      <xdr:col>5</xdr:col>
      <xdr:colOff>34107</xdr:colOff>
      <xdr:row>26</xdr:row>
      <xdr:rowOff>226454</xdr:rowOff>
    </xdr:to>
    <xdr:pic>
      <xdr:nvPicPr>
        <xdr:cNvPr id="5" name="Resim 4">
          <a:extLst>
            <a:ext uri="{FF2B5EF4-FFF2-40B4-BE49-F238E27FC236}">
              <a16:creationId xmlns:a16="http://schemas.microsoft.com/office/drawing/2014/main" id="{604398E0-FECF-4948-989D-D90A9344342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22252"/>
          <a:ext cx="2921881" cy="660916"/>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4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5.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4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6.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4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7.xml><?xml version="1.0" encoding="utf-8"?>
<xdr:wsDr xmlns:xdr="http://schemas.openxmlformats.org/drawingml/2006/spreadsheetDrawing" xmlns:a="http://schemas.openxmlformats.org/drawingml/2006/main">
  <xdr:twoCellAnchor editAs="oneCell">
    <xdr:from>
      <xdr:col>2</xdr:col>
      <xdr:colOff>0</xdr:colOff>
      <xdr:row>24</xdr:row>
      <xdr:rowOff>72574</xdr:rowOff>
    </xdr:from>
    <xdr:to>
      <xdr:col>9</xdr:col>
      <xdr:colOff>129540</xdr:colOff>
      <xdr:row>24</xdr:row>
      <xdr:rowOff>192317</xdr:rowOff>
    </xdr:to>
    <xdr:pic>
      <xdr:nvPicPr>
        <xdr:cNvPr id="6" name="Resim 5">
          <a:extLst>
            <a:ext uri="{FF2B5EF4-FFF2-40B4-BE49-F238E27FC236}">
              <a16:creationId xmlns:a16="http://schemas.microsoft.com/office/drawing/2014/main" id="{3A2EB39D-EF52-2640-9C11-1253BD50F7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948717"/>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146109</xdr:rowOff>
    </xdr:from>
    <xdr:to>
      <xdr:col>5</xdr:col>
      <xdr:colOff>34107</xdr:colOff>
      <xdr:row>26</xdr:row>
      <xdr:rowOff>226454</xdr:rowOff>
    </xdr:to>
    <xdr:pic>
      <xdr:nvPicPr>
        <xdr:cNvPr id="7" name="Resim 6">
          <a:extLst>
            <a:ext uri="{FF2B5EF4-FFF2-40B4-BE49-F238E27FC236}">
              <a16:creationId xmlns:a16="http://schemas.microsoft.com/office/drawing/2014/main" id="{FA9580D0-D349-7B4D-87C3-0028CFC829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22252"/>
          <a:ext cx="2921881" cy="660916"/>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4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9.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4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0.xml><?xml version="1.0" encoding="utf-8"?>
<xdr:wsDr xmlns:xdr="http://schemas.openxmlformats.org/drawingml/2006/spreadsheetDrawing" xmlns:a="http://schemas.openxmlformats.org/drawingml/2006/main">
  <xdr:twoCellAnchor editAs="oneCell">
    <xdr:from>
      <xdr:col>2</xdr:col>
      <xdr:colOff>0</xdr:colOff>
      <xdr:row>24</xdr:row>
      <xdr:rowOff>72574</xdr:rowOff>
    </xdr:from>
    <xdr:to>
      <xdr:col>9</xdr:col>
      <xdr:colOff>129540</xdr:colOff>
      <xdr:row>24</xdr:row>
      <xdr:rowOff>192317</xdr:rowOff>
    </xdr:to>
    <xdr:pic>
      <xdr:nvPicPr>
        <xdr:cNvPr id="4" name="Resim 3">
          <a:extLst>
            <a:ext uri="{FF2B5EF4-FFF2-40B4-BE49-F238E27FC236}">
              <a16:creationId xmlns:a16="http://schemas.microsoft.com/office/drawing/2014/main" id="{450063DF-77C1-3F47-93A8-8AA5A73192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6948717"/>
          <a:ext cx="6987540" cy="119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51369</xdr:colOff>
      <xdr:row>24</xdr:row>
      <xdr:rowOff>146109</xdr:rowOff>
    </xdr:from>
    <xdr:to>
      <xdr:col>5</xdr:col>
      <xdr:colOff>34107</xdr:colOff>
      <xdr:row>26</xdr:row>
      <xdr:rowOff>226454</xdr:rowOff>
    </xdr:to>
    <xdr:pic>
      <xdr:nvPicPr>
        <xdr:cNvPr id="5" name="Resim 4">
          <a:extLst>
            <a:ext uri="{FF2B5EF4-FFF2-40B4-BE49-F238E27FC236}">
              <a16:creationId xmlns:a16="http://schemas.microsoft.com/office/drawing/2014/main" id="{CFC7894B-A96D-8A49-803B-236560E832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0369" y="7022252"/>
          <a:ext cx="2921881" cy="660916"/>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4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2.xml><?xml version="1.0" encoding="utf-8"?>
<xdr:wsDr xmlns:xdr="http://schemas.openxmlformats.org/drawingml/2006/spreadsheetDrawing" xmlns:a="http://schemas.openxmlformats.org/drawingml/2006/main">
  <xdr:twoCellAnchor>
    <xdr:from>
      <xdr:col>4</xdr:col>
      <xdr:colOff>43541</xdr:colOff>
      <xdr:row>2</xdr:row>
      <xdr:rowOff>54426</xdr:rowOff>
    </xdr:from>
    <xdr:to>
      <xdr:col>4</xdr:col>
      <xdr:colOff>4833256</xdr:colOff>
      <xdr:row>6</xdr:row>
      <xdr:rowOff>1719943</xdr:rowOff>
    </xdr:to>
    <xdr:graphicFrame macro="">
      <xdr:nvGraphicFramePr>
        <xdr:cNvPr id="2" name="Grafik 1">
          <a:extLst>
            <a:ext uri="{FF2B5EF4-FFF2-40B4-BE49-F238E27FC236}">
              <a16:creationId xmlns:a16="http://schemas.microsoft.com/office/drawing/2014/main" id="{00000000-0008-0000-4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50800</xdr:colOff>
      <xdr:row>1</xdr:row>
      <xdr:rowOff>80435</xdr:rowOff>
    </xdr:from>
    <xdr:to>
      <xdr:col>13</xdr:col>
      <xdr:colOff>864402</xdr:colOff>
      <xdr:row>26</xdr:row>
      <xdr:rowOff>254002</xdr:rowOff>
    </xdr:to>
    <xdr:pic>
      <xdr:nvPicPr>
        <xdr:cNvPr id="4" name="Resim 3">
          <a:extLst>
            <a:ext uri="{FF2B5EF4-FFF2-40B4-BE49-F238E27FC236}">
              <a16:creationId xmlns:a16="http://schemas.microsoft.com/office/drawing/2014/main" id="{00000000-0008-0000-4A00-000004000000}"/>
            </a:ext>
          </a:extLst>
        </xdr:cNvPr>
        <xdr:cNvPicPr>
          <a:picLocks noChangeAspect="1"/>
        </xdr:cNvPicPr>
      </xdr:nvPicPr>
      <xdr:blipFill>
        <a:blip xmlns:r="http://schemas.openxmlformats.org/officeDocument/2006/relationships" r:embed="rId1"/>
        <a:stretch>
          <a:fillRect/>
        </a:stretch>
      </xdr:blipFill>
      <xdr:spPr>
        <a:xfrm>
          <a:off x="728133" y="270935"/>
          <a:ext cx="11735602" cy="75819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netimCevaplariTablosu" displayName="DenetimCevaplariTablosu" ref="A1:D165" totalsRowShown="0">
  <autoFilter ref="A1:D165" xr:uid="{00000000-0009-0000-0100-000001000000}"/>
  <tableColumns count="4">
    <tableColumn id="1" xr3:uid="{00000000-0010-0000-0000-000001000000}" name="IDID" dataDxfId="11" dataCellStyle="Normal 2"/>
    <tableColumn id="2" xr3:uid="{00000000-0010-0000-0000-000002000000}" name="PUAN"/>
    <tableColumn id="3" xr3:uid="{00000000-0010-0000-0000-000003000000}" name="SONUÇ"/>
    <tableColumn id="4" xr3:uid="{00000000-0010-0000-0000-000004000000}" name="NOTL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netlemeBilgileri" displayName="DenetlemeBilgileri" ref="F1:O2" totalsRowShown="0">
  <autoFilter ref="F1:O2" xr:uid="{00000000-0009-0000-0100-000002000000}"/>
  <tableColumns count="10">
    <tableColumn id="1" xr3:uid="{00000000-0010-0000-0100-000001000000}" name="Firma Adı"/>
    <tableColumn id="2" xr3:uid="{00000000-0010-0000-0100-000002000000}" name="Rapor Tarihi" dataDxfId="10"/>
    <tableColumn id="3" xr3:uid="{00000000-0010-0000-0100-000003000000}" name="Rapor No"/>
    <tableColumn id="4" xr3:uid="{00000000-0010-0000-0100-000004000000}" name="Denetleme Tarihi" dataDxfId="9"/>
    <tableColumn id="10" xr3:uid="{00000000-0010-0000-0100-00000A000000}" name="Hedef Puan" dataDxfId="8"/>
    <tableColumn id="5" xr3:uid="{00000000-0010-0000-0100-000005000000}" name="Firma Katılımcıları"/>
    <tableColumn id="6" xr3:uid="{00000000-0010-0000-0100-000006000000}" name="Denetleyiciler"/>
    <tableColumn id="7" xr3:uid="{00000000-0010-0000-0100-000007000000}" name="DeğerlendirmeSonuc1"/>
    <tableColumn id="8" xr3:uid="{00000000-0010-0000-0100-000008000000}" name="DeğerlendirmeSonuc2"/>
    <tableColumn id="9" xr3:uid="{00000000-0010-0000-0100-000009000000}" name="DeğerlendirmeSonuc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KategoriSonuc" displayName="KategoriSonuc" ref="Q1:R19" totalsRowShown="0">
  <autoFilter ref="Q1:R19" xr:uid="{00000000-0009-0000-0100-000003000000}"/>
  <tableColumns count="2">
    <tableColumn id="1" xr3:uid="{00000000-0010-0000-0200-000001000000}" name="KONU ID"/>
    <tableColumn id="2" xr3:uid="{00000000-0010-0000-0200-000002000000}" name="SONUÇ"/>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enetlemeSonuc" displayName="DenetlemeSonuc" ref="T1:V2" totalsRowShown="0">
  <autoFilter ref="T1:V2" xr:uid="{00000000-0009-0000-0100-000004000000}"/>
  <tableColumns count="3">
    <tableColumn id="1" xr3:uid="{00000000-0010-0000-0300-000001000000}" name="DENETLEME NO"/>
    <tableColumn id="2" xr3:uid="{00000000-0010-0000-0300-000002000000}" name="DENETLEME SONUÇ"/>
    <tableColumn id="3" xr3:uid="{00000000-0010-0000-0300-000003000000}" name="DENETLEME SEVİY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KategorsiYorum" displayName="KategorsiYorum" ref="X1:Y19" totalsRowShown="0">
  <autoFilter ref="X1:Y19" xr:uid="{00000000-0009-0000-0100-000005000000}"/>
  <tableColumns count="2">
    <tableColumn id="1" xr3:uid="{00000000-0010-0000-0400-000001000000}" name="KONU ID"/>
    <tableColumn id="2" xr3:uid="{00000000-0010-0000-0400-000002000000}" name="KONU YORUM"/>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Best" displayName="Best" ref="AA1:AA2" insertRow="1" totalsRowShown="0" dataDxfId="7" tableBorderDxfId="6" dataCellStyle="Normal 2">
  <autoFilter ref="AA1:AA2" xr:uid="{00000000-0009-0000-0100-000006000000}"/>
  <tableColumns count="1">
    <tableColumn id="1" xr3:uid="{00000000-0010-0000-0500-000001000000}" name="BEST KONU ID" dataDxfId="5" dataCellStyle="Normal 2"/>
  </tableColumns>
  <tableStyleInfo name="TableStyleMedium2"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2"/>
  <dimension ref="A1:G165"/>
  <sheetViews>
    <sheetView workbookViewId="0">
      <selection activeCell="E6" sqref="E6"/>
    </sheetView>
  </sheetViews>
  <sheetFormatPr baseColWidth="10" defaultColWidth="8.83203125" defaultRowHeight="13"/>
  <cols>
    <col min="1" max="1" width="18.1640625" style="1" bestFit="1" customWidth="1"/>
    <col min="2" max="2" width="23.1640625" style="1" bestFit="1" customWidth="1"/>
    <col min="3" max="3" width="28" style="1" customWidth="1"/>
    <col min="4" max="4" width="10.33203125" style="2" bestFit="1" customWidth="1"/>
    <col min="5" max="5" width="61.1640625" style="3" customWidth="1"/>
    <col min="6" max="6" width="36.5" style="1" bestFit="1" customWidth="1"/>
    <col min="7" max="7" width="10.6640625" style="1" bestFit="1" customWidth="1"/>
    <col min="8" max="16384" width="8.83203125" style="2"/>
  </cols>
  <sheetData>
    <row r="1" spans="1:7" ht="14">
      <c r="A1" s="18" t="s">
        <v>4</v>
      </c>
      <c r="B1" s="18" t="s">
        <v>8</v>
      </c>
      <c r="C1" s="18" t="s">
        <v>9</v>
      </c>
      <c r="D1" s="19" t="s">
        <v>5</v>
      </c>
      <c r="E1" s="20" t="s">
        <v>6</v>
      </c>
      <c r="F1" s="18" t="s">
        <v>7</v>
      </c>
      <c r="G1" s="18" t="s">
        <v>10</v>
      </c>
    </row>
    <row r="2" spans="1:7" ht="43">
      <c r="A2" s="18" t="s">
        <v>11</v>
      </c>
      <c r="B2" s="18" t="s">
        <v>12</v>
      </c>
      <c r="C2" s="18" t="s">
        <v>13</v>
      </c>
      <c r="D2" s="21">
        <v>2</v>
      </c>
      <c r="E2" s="20" t="s">
        <v>705</v>
      </c>
      <c r="F2" s="18" t="s">
        <v>845</v>
      </c>
      <c r="G2" s="18" t="s">
        <v>14</v>
      </c>
    </row>
    <row r="3" spans="1:7" ht="42">
      <c r="A3" s="18" t="s">
        <v>16</v>
      </c>
      <c r="B3" s="18" t="s">
        <v>12</v>
      </c>
      <c r="C3" s="18" t="s">
        <v>15</v>
      </c>
      <c r="D3" s="19">
        <v>1</v>
      </c>
      <c r="E3" s="20" t="s">
        <v>706</v>
      </c>
      <c r="F3" s="18" t="s">
        <v>845</v>
      </c>
      <c r="G3" s="18" t="s">
        <v>18</v>
      </c>
    </row>
    <row r="4" spans="1:7" ht="56">
      <c r="A4" s="18" t="s">
        <v>20</v>
      </c>
      <c r="B4" s="18" t="s">
        <v>12</v>
      </c>
      <c r="C4" s="18" t="s">
        <v>17</v>
      </c>
      <c r="D4" s="19">
        <v>1.5</v>
      </c>
      <c r="E4" s="20" t="s">
        <v>707</v>
      </c>
      <c r="F4" s="18" t="s">
        <v>845</v>
      </c>
      <c r="G4" s="18" t="s">
        <v>22</v>
      </c>
    </row>
    <row r="5" spans="1:7" ht="56">
      <c r="A5" s="18" t="s">
        <v>26</v>
      </c>
      <c r="B5" s="18" t="s">
        <v>12</v>
      </c>
      <c r="C5" s="18" t="s">
        <v>19</v>
      </c>
      <c r="D5" s="19">
        <v>2</v>
      </c>
      <c r="E5" s="20" t="s">
        <v>708</v>
      </c>
      <c r="F5" s="18" t="s">
        <v>845</v>
      </c>
      <c r="G5" s="18" t="s">
        <v>28</v>
      </c>
    </row>
    <row r="6" spans="1:7" ht="42">
      <c r="A6" s="18" t="s">
        <v>512</v>
      </c>
      <c r="B6" s="18" t="s">
        <v>12</v>
      </c>
      <c r="C6" s="18" t="s">
        <v>21</v>
      </c>
      <c r="D6" s="19">
        <v>1.5</v>
      </c>
      <c r="E6" s="20" t="s">
        <v>709</v>
      </c>
      <c r="F6" s="18" t="s">
        <v>845</v>
      </c>
      <c r="G6" s="18" t="s">
        <v>460</v>
      </c>
    </row>
    <row r="7" spans="1:7" ht="42">
      <c r="A7" s="18" t="s">
        <v>513</v>
      </c>
      <c r="B7" s="18" t="s">
        <v>12</v>
      </c>
      <c r="C7" s="18" t="s">
        <v>23</v>
      </c>
      <c r="D7" s="19">
        <v>1.5</v>
      </c>
      <c r="E7" s="20" t="s">
        <v>710</v>
      </c>
      <c r="F7" s="18" t="s">
        <v>845</v>
      </c>
      <c r="G7" s="18" t="s">
        <v>461</v>
      </c>
    </row>
    <row r="8" spans="1:7" ht="56">
      <c r="A8" s="18" t="s">
        <v>514</v>
      </c>
      <c r="B8" s="18" t="s">
        <v>12</v>
      </c>
      <c r="C8" s="18" t="s">
        <v>25</v>
      </c>
      <c r="D8" s="19">
        <v>3</v>
      </c>
      <c r="E8" s="20" t="s">
        <v>24</v>
      </c>
      <c r="F8" s="18" t="s">
        <v>845</v>
      </c>
      <c r="G8" s="18" t="s">
        <v>462</v>
      </c>
    </row>
    <row r="9" spans="1:7" ht="42">
      <c r="A9" s="18" t="s">
        <v>515</v>
      </c>
      <c r="B9" s="18" t="s">
        <v>12</v>
      </c>
      <c r="C9" s="18" t="s">
        <v>27</v>
      </c>
      <c r="D9" s="19">
        <v>3</v>
      </c>
      <c r="E9" s="20" t="s">
        <v>711</v>
      </c>
      <c r="F9" s="18" t="s">
        <v>845</v>
      </c>
      <c r="G9" s="18" t="s">
        <v>463</v>
      </c>
    </row>
    <row r="10" spans="1:7" ht="70">
      <c r="A10" s="18" t="s">
        <v>516</v>
      </c>
      <c r="B10" s="18" t="s">
        <v>12</v>
      </c>
      <c r="C10" s="18" t="s">
        <v>30</v>
      </c>
      <c r="D10" s="19">
        <v>2</v>
      </c>
      <c r="E10" s="20" t="s">
        <v>29</v>
      </c>
      <c r="F10" s="18" t="s">
        <v>845</v>
      </c>
      <c r="G10" s="18" t="s">
        <v>464</v>
      </c>
    </row>
    <row r="11" spans="1:7" ht="42">
      <c r="A11" s="18" t="s">
        <v>517</v>
      </c>
      <c r="B11" s="18" t="s">
        <v>12</v>
      </c>
      <c r="C11" s="18" t="s">
        <v>31</v>
      </c>
      <c r="D11" s="19">
        <v>2.5</v>
      </c>
      <c r="E11" s="20" t="s">
        <v>712</v>
      </c>
      <c r="F11" s="18" t="s">
        <v>845</v>
      </c>
      <c r="G11" s="18" t="s">
        <v>465</v>
      </c>
    </row>
    <row r="12" spans="1:7" ht="56">
      <c r="A12" s="18" t="s">
        <v>32</v>
      </c>
      <c r="B12" s="18" t="s">
        <v>35</v>
      </c>
      <c r="C12" s="18" t="s">
        <v>300</v>
      </c>
      <c r="D12" s="19">
        <v>3</v>
      </c>
      <c r="E12" s="20" t="s">
        <v>33</v>
      </c>
      <c r="F12" s="18" t="s">
        <v>34</v>
      </c>
      <c r="G12" s="18" t="s">
        <v>36</v>
      </c>
    </row>
    <row r="13" spans="1:7" ht="56">
      <c r="A13" s="18" t="s">
        <v>37</v>
      </c>
      <c r="B13" s="18" t="s">
        <v>35</v>
      </c>
      <c r="C13" s="18" t="s">
        <v>301</v>
      </c>
      <c r="D13" s="19">
        <v>3</v>
      </c>
      <c r="E13" s="20" t="s">
        <v>713</v>
      </c>
      <c r="F13" s="18" t="s">
        <v>34</v>
      </c>
      <c r="G13" s="18" t="s">
        <v>39</v>
      </c>
    </row>
    <row r="14" spans="1:7" ht="56">
      <c r="A14" s="18" t="s">
        <v>40</v>
      </c>
      <c r="B14" s="18" t="s">
        <v>35</v>
      </c>
      <c r="C14" s="18" t="s">
        <v>302</v>
      </c>
      <c r="D14" s="19">
        <v>2</v>
      </c>
      <c r="E14" s="20" t="s">
        <v>714</v>
      </c>
      <c r="F14" s="18" t="s">
        <v>34</v>
      </c>
      <c r="G14" s="18" t="s">
        <v>42</v>
      </c>
    </row>
    <row r="15" spans="1:7" ht="56">
      <c r="A15" s="18" t="s">
        <v>518</v>
      </c>
      <c r="B15" s="18" t="s">
        <v>35</v>
      </c>
      <c r="C15" s="18" t="s">
        <v>303</v>
      </c>
      <c r="D15" s="19">
        <v>2</v>
      </c>
      <c r="E15" s="20" t="s">
        <v>715</v>
      </c>
      <c r="F15" s="18" t="s">
        <v>34</v>
      </c>
      <c r="G15" s="18" t="s">
        <v>466</v>
      </c>
    </row>
    <row r="16" spans="1:7" ht="42">
      <c r="A16" s="18" t="s">
        <v>519</v>
      </c>
      <c r="B16" s="18" t="s">
        <v>35</v>
      </c>
      <c r="C16" s="18" t="s">
        <v>38</v>
      </c>
      <c r="D16" s="19">
        <v>2.5</v>
      </c>
      <c r="E16" s="20" t="s">
        <v>716</v>
      </c>
      <c r="F16" s="18" t="s">
        <v>34</v>
      </c>
      <c r="G16" s="18" t="s">
        <v>467</v>
      </c>
    </row>
    <row r="17" spans="1:7" ht="42">
      <c r="A17" s="18" t="s">
        <v>520</v>
      </c>
      <c r="B17" s="18" t="s">
        <v>35</v>
      </c>
      <c r="C17" s="18" t="s">
        <v>41</v>
      </c>
      <c r="D17" s="19">
        <v>2.5</v>
      </c>
      <c r="E17" s="20" t="s">
        <v>717</v>
      </c>
      <c r="F17" s="18" t="s">
        <v>34</v>
      </c>
      <c r="G17" s="18" t="s">
        <v>468</v>
      </c>
    </row>
    <row r="18" spans="1:7" ht="28">
      <c r="A18" s="18" t="s">
        <v>521</v>
      </c>
      <c r="B18" s="18" t="s">
        <v>35</v>
      </c>
      <c r="C18" s="18" t="s">
        <v>304</v>
      </c>
      <c r="D18" s="19">
        <v>3</v>
      </c>
      <c r="E18" s="20" t="s">
        <v>718</v>
      </c>
      <c r="F18" s="18" t="s">
        <v>34</v>
      </c>
      <c r="G18" s="18" t="s">
        <v>469</v>
      </c>
    </row>
    <row r="19" spans="1:7" ht="56">
      <c r="A19" s="18" t="s">
        <v>522</v>
      </c>
      <c r="B19" s="18" t="s">
        <v>35</v>
      </c>
      <c r="C19" s="18" t="s">
        <v>305</v>
      </c>
      <c r="D19" s="19">
        <v>2</v>
      </c>
      <c r="E19" s="20" t="s">
        <v>719</v>
      </c>
      <c r="F19" s="18" t="s">
        <v>34</v>
      </c>
      <c r="G19" s="18" t="s">
        <v>470</v>
      </c>
    </row>
    <row r="20" spans="1:7" ht="42">
      <c r="A20" s="18" t="s">
        <v>43</v>
      </c>
      <c r="B20" s="18" t="s">
        <v>45</v>
      </c>
      <c r="C20" s="18" t="s">
        <v>306</v>
      </c>
      <c r="D20" s="19">
        <v>3</v>
      </c>
      <c r="E20" s="20" t="s">
        <v>720</v>
      </c>
      <c r="F20" s="18" t="s">
        <v>44</v>
      </c>
      <c r="G20" s="18" t="s">
        <v>47</v>
      </c>
    </row>
    <row r="21" spans="1:7" ht="56">
      <c r="A21" s="18" t="s">
        <v>49</v>
      </c>
      <c r="B21" s="18" t="s">
        <v>45</v>
      </c>
      <c r="C21" s="18" t="s">
        <v>46</v>
      </c>
      <c r="D21" s="19">
        <v>3</v>
      </c>
      <c r="E21" s="20" t="s">
        <v>721</v>
      </c>
      <c r="F21" s="18" t="s">
        <v>44</v>
      </c>
      <c r="G21" s="18" t="s">
        <v>50</v>
      </c>
    </row>
    <row r="22" spans="1:7" ht="56">
      <c r="A22" s="18" t="s">
        <v>51</v>
      </c>
      <c r="B22" s="18" t="s">
        <v>45</v>
      </c>
      <c r="C22" s="18" t="s">
        <v>46</v>
      </c>
      <c r="D22" s="19">
        <v>1.5</v>
      </c>
      <c r="E22" s="20" t="s">
        <v>48</v>
      </c>
      <c r="F22" s="18" t="s">
        <v>44</v>
      </c>
      <c r="G22" s="18" t="s">
        <v>50</v>
      </c>
    </row>
    <row r="23" spans="1:7" ht="56">
      <c r="A23" s="18" t="s">
        <v>52</v>
      </c>
      <c r="B23" s="18" t="s">
        <v>45</v>
      </c>
      <c r="C23" s="18" t="s">
        <v>280</v>
      </c>
      <c r="D23" s="19">
        <v>2</v>
      </c>
      <c r="E23" s="20" t="s">
        <v>722</v>
      </c>
      <c r="F23" s="18" t="s">
        <v>44</v>
      </c>
      <c r="G23" s="18" t="s">
        <v>54</v>
      </c>
    </row>
    <row r="24" spans="1:7" ht="70">
      <c r="A24" s="18" t="s">
        <v>55</v>
      </c>
      <c r="B24" s="18" t="s">
        <v>45</v>
      </c>
      <c r="C24" s="18" t="s">
        <v>307</v>
      </c>
      <c r="D24" s="19">
        <v>3</v>
      </c>
      <c r="E24" s="20" t="s">
        <v>723</v>
      </c>
      <c r="F24" s="18" t="s">
        <v>44</v>
      </c>
      <c r="G24" s="18" t="s">
        <v>56</v>
      </c>
    </row>
    <row r="25" spans="1:7" ht="84">
      <c r="A25" s="18" t="s">
        <v>523</v>
      </c>
      <c r="B25" s="18" t="s">
        <v>45</v>
      </c>
      <c r="C25" s="18" t="s">
        <v>309</v>
      </c>
      <c r="D25" s="19">
        <v>1.5</v>
      </c>
      <c r="E25" s="20" t="s">
        <v>724</v>
      </c>
      <c r="F25" s="18" t="s">
        <v>44</v>
      </c>
      <c r="G25" s="18" t="s">
        <v>471</v>
      </c>
    </row>
    <row r="26" spans="1:7" ht="56">
      <c r="A26" s="18" t="s">
        <v>524</v>
      </c>
      <c r="B26" s="18" t="s">
        <v>45</v>
      </c>
      <c r="C26" s="18" t="s">
        <v>53</v>
      </c>
      <c r="D26" s="19">
        <v>2</v>
      </c>
      <c r="E26" s="20" t="s">
        <v>725</v>
      </c>
      <c r="F26" s="18" t="s">
        <v>44</v>
      </c>
      <c r="G26" s="18" t="s">
        <v>472</v>
      </c>
    </row>
    <row r="27" spans="1:7" ht="56">
      <c r="A27" s="18" t="s">
        <v>525</v>
      </c>
      <c r="B27" s="18" t="s">
        <v>45</v>
      </c>
      <c r="C27" s="18" t="s">
        <v>310</v>
      </c>
      <c r="D27" s="19">
        <v>2</v>
      </c>
      <c r="E27" s="20" t="s">
        <v>726</v>
      </c>
      <c r="F27" s="18" t="s">
        <v>44</v>
      </c>
      <c r="G27" s="18" t="s">
        <v>473</v>
      </c>
    </row>
    <row r="28" spans="1:7" ht="56">
      <c r="A28" s="18" t="s">
        <v>526</v>
      </c>
      <c r="B28" s="18" t="s">
        <v>45</v>
      </c>
      <c r="C28" s="18" t="s">
        <v>308</v>
      </c>
      <c r="D28" s="19">
        <v>2</v>
      </c>
      <c r="E28" s="20" t="s">
        <v>727</v>
      </c>
      <c r="F28" s="18" t="s">
        <v>44</v>
      </c>
      <c r="G28" s="18" t="s">
        <v>474</v>
      </c>
    </row>
    <row r="29" spans="1:7" ht="56">
      <c r="A29" s="18" t="s">
        <v>57</v>
      </c>
      <c r="B29" s="18" t="s">
        <v>59</v>
      </c>
      <c r="C29" s="18" t="s">
        <v>311</v>
      </c>
      <c r="D29" s="19">
        <v>1</v>
      </c>
      <c r="E29" s="20" t="s">
        <v>728</v>
      </c>
      <c r="F29" s="18" t="s">
        <v>58</v>
      </c>
      <c r="G29" s="18" t="s">
        <v>60</v>
      </c>
    </row>
    <row r="30" spans="1:7" ht="56">
      <c r="A30" s="18" t="s">
        <v>61</v>
      </c>
      <c r="B30" s="18" t="s">
        <v>59</v>
      </c>
      <c r="C30" s="18" t="s">
        <v>314</v>
      </c>
      <c r="D30" s="19">
        <v>2</v>
      </c>
      <c r="E30" s="20" t="s">
        <v>729</v>
      </c>
      <c r="F30" s="18" t="s">
        <v>58</v>
      </c>
      <c r="G30" s="18" t="s">
        <v>62</v>
      </c>
    </row>
    <row r="31" spans="1:7" ht="42">
      <c r="A31" s="18" t="s">
        <v>63</v>
      </c>
      <c r="B31" s="18" t="s">
        <v>59</v>
      </c>
      <c r="C31" s="18" t="s">
        <v>315</v>
      </c>
      <c r="D31" s="19">
        <v>1.5</v>
      </c>
      <c r="E31" s="20" t="s">
        <v>730</v>
      </c>
      <c r="F31" s="18" t="s">
        <v>58</v>
      </c>
      <c r="G31" s="18" t="s">
        <v>64</v>
      </c>
    </row>
    <row r="32" spans="1:7" ht="42">
      <c r="A32" s="18" t="s">
        <v>65</v>
      </c>
      <c r="B32" s="18" t="s">
        <v>59</v>
      </c>
      <c r="C32" s="18" t="s">
        <v>316</v>
      </c>
      <c r="D32" s="19">
        <v>2</v>
      </c>
      <c r="E32" s="20" t="s">
        <v>731</v>
      </c>
      <c r="F32" s="18" t="s">
        <v>58</v>
      </c>
      <c r="G32" s="18" t="s">
        <v>66</v>
      </c>
    </row>
    <row r="33" spans="1:7" ht="70">
      <c r="A33" s="18" t="s">
        <v>67</v>
      </c>
      <c r="B33" s="18" t="s">
        <v>59</v>
      </c>
      <c r="C33" s="18" t="s">
        <v>852</v>
      </c>
      <c r="D33" s="19">
        <v>1</v>
      </c>
      <c r="E33" s="20" t="s">
        <v>732</v>
      </c>
      <c r="F33" s="18" t="s">
        <v>58</v>
      </c>
      <c r="G33" s="18" t="s">
        <v>70</v>
      </c>
    </row>
    <row r="34" spans="1:7" ht="70">
      <c r="A34" s="18" t="s">
        <v>71</v>
      </c>
      <c r="B34" s="18" t="s">
        <v>59</v>
      </c>
      <c r="C34" s="18" t="s">
        <v>312</v>
      </c>
      <c r="D34" s="19">
        <v>1.5</v>
      </c>
      <c r="E34" s="20" t="s">
        <v>733</v>
      </c>
      <c r="F34" s="18" t="s">
        <v>58</v>
      </c>
      <c r="G34" s="18" t="s">
        <v>74</v>
      </c>
    </row>
    <row r="35" spans="1:7" ht="56">
      <c r="A35" s="18" t="s">
        <v>527</v>
      </c>
      <c r="B35" s="18" t="s">
        <v>59</v>
      </c>
      <c r="C35" s="18" t="s">
        <v>317</v>
      </c>
      <c r="D35" s="19">
        <v>1.5</v>
      </c>
      <c r="E35" s="20" t="s">
        <v>734</v>
      </c>
      <c r="F35" s="18" t="s">
        <v>58</v>
      </c>
      <c r="G35" s="18" t="s">
        <v>475</v>
      </c>
    </row>
    <row r="36" spans="1:7" ht="56">
      <c r="A36" s="18" t="s">
        <v>528</v>
      </c>
      <c r="B36" s="18" t="s">
        <v>59</v>
      </c>
      <c r="C36" s="18" t="s">
        <v>313</v>
      </c>
      <c r="D36" s="19">
        <v>2</v>
      </c>
      <c r="E36" s="20" t="s">
        <v>735</v>
      </c>
      <c r="F36" s="18" t="s">
        <v>58</v>
      </c>
      <c r="G36" s="18" t="s">
        <v>476</v>
      </c>
    </row>
    <row r="37" spans="1:7" ht="70">
      <c r="A37" s="18" t="s">
        <v>529</v>
      </c>
      <c r="B37" s="18" t="s">
        <v>59</v>
      </c>
      <c r="C37" s="18" t="s">
        <v>318</v>
      </c>
      <c r="D37" s="19">
        <v>2</v>
      </c>
      <c r="E37" s="20" t="s">
        <v>68</v>
      </c>
      <c r="F37" s="18" t="s">
        <v>58</v>
      </c>
      <c r="G37" s="18" t="s">
        <v>477</v>
      </c>
    </row>
    <row r="38" spans="1:7" ht="70">
      <c r="A38" s="18" t="s">
        <v>530</v>
      </c>
      <c r="B38" s="18" t="s">
        <v>59</v>
      </c>
      <c r="C38" s="18" t="s">
        <v>69</v>
      </c>
      <c r="D38" s="19">
        <v>2</v>
      </c>
      <c r="E38" s="20" t="s">
        <v>736</v>
      </c>
      <c r="F38" s="18" t="s">
        <v>58</v>
      </c>
      <c r="G38" s="18" t="s">
        <v>478</v>
      </c>
    </row>
    <row r="39" spans="1:7" ht="70">
      <c r="A39" s="18" t="s">
        <v>531</v>
      </c>
      <c r="B39" s="18" t="s">
        <v>59</v>
      </c>
      <c r="C39" s="18" t="s">
        <v>73</v>
      </c>
      <c r="D39" s="19">
        <v>1.5</v>
      </c>
      <c r="E39" s="20" t="s">
        <v>72</v>
      </c>
      <c r="F39" s="18" t="s">
        <v>58</v>
      </c>
      <c r="G39" s="18" t="s">
        <v>479</v>
      </c>
    </row>
    <row r="40" spans="1:7" ht="56">
      <c r="A40" s="18" t="s">
        <v>532</v>
      </c>
      <c r="B40" s="18" t="s">
        <v>59</v>
      </c>
      <c r="C40" s="18" t="s">
        <v>319</v>
      </c>
      <c r="D40" s="19">
        <v>2</v>
      </c>
      <c r="E40" s="20" t="s">
        <v>737</v>
      </c>
      <c r="F40" s="18" t="s">
        <v>58</v>
      </c>
      <c r="G40" s="18" t="s">
        <v>480</v>
      </c>
    </row>
    <row r="41" spans="1:7" ht="56">
      <c r="A41" s="18" t="s">
        <v>75</v>
      </c>
      <c r="B41" s="18" t="s">
        <v>77</v>
      </c>
      <c r="C41" s="18" t="s">
        <v>17</v>
      </c>
      <c r="D41" s="19">
        <v>2.5</v>
      </c>
      <c r="E41" s="20" t="s">
        <v>738</v>
      </c>
      <c r="F41" s="18" t="s">
        <v>76</v>
      </c>
      <c r="G41" s="18" t="s">
        <v>571</v>
      </c>
    </row>
    <row r="42" spans="1:7" ht="70">
      <c r="A42" s="18" t="s">
        <v>78</v>
      </c>
      <c r="B42" s="18" t="s">
        <v>77</v>
      </c>
      <c r="C42" s="18" t="s">
        <v>311</v>
      </c>
      <c r="D42" s="19">
        <v>2</v>
      </c>
      <c r="E42" s="20" t="s">
        <v>739</v>
      </c>
      <c r="F42" s="18" t="s">
        <v>76</v>
      </c>
      <c r="G42" s="18" t="s">
        <v>572</v>
      </c>
    </row>
    <row r="43" spans="1:7" ht="56">
      <c r="A43" s="18" t="s">
        <v>80</v>
      </c>
      <c r="B43" s="18" t="s">
        <v>77</v>
      </c>
      <c r="C43" s="18" t="s">
        <v>320</v>
      </c>
      <c r="D43" s="19">
        <v>2</v>
      </c>
      <c r="E43" s="20" t="s">
        <v>740</v>
      </c>
      <c r="F43" s="18" t="s">
        <v>76</v>
      </c>
      <c r="G43" s="18" t="s">
        <v>82</v>
      </c>
    </row>
    <row r="44" spans="1:7" ht="42">
      <c r="A44" s="18" t="s">
        <v>533</v>
      </c>
      <c r="B44" s="18" t="s">
        <v>77</v>
      </c>
      <c r="C44" s="18" t="s">
        <v>79</v>
      </c>
      <c r="D44" s="19">
        <v>1.5</v>
      </c>
      <c r="E44" s="20" t="s">
        <v>741</v>
      </c>
      <c r="F44" s="18" t="s">
        <v>76</v>
      </c>
      <c r="G44" s="18" t="s">
        <v>481</v>
      </c>
    </row>
    <row r="45" spans="1:7" ht="56">
      <c r="A45" s="18" t="s">
        <v>534</v>
      </c>
      <c r="B45" s="18" t="s">
        <v>77</v>
      </c>
      <c r="C45" s="18" t="s">
        <v>79</v>
      </c>
      <c r="D45" s="19">
        <v>3</v>
      </c>
      <c r="E45" s="20" t="s">
        <v>742</v>
      </c>
      <c r="F45" s="18" t="s">
        <v>76</v>
      </c>
      <c r="G45" s="18" t="s">
        <v>481</v>
      </c>
    </row>
    <row r="46" spans="1:7" ht="70">
      <c r="A46" s="18" t="s">
        <v>535</v>
      </c>
      <c r="B46" s="18" t="s">
        <v>77</v>
      </c>
      <c r="C46" s="18" t="s">
        <v>321</v>
      </c>
      <c r="D46" s="19">
        <v>2.5</v>
      </c>
      <c r="E46" s="20" t="s">
        <v>743</v>
      </c>
      <c r="F46" s="18" t="s">
        <v>76</v>
      </c>
      <c r="G46" s="18" t="s">
        <v>482</v>
      </c>
    </row>
    <row r="47" spans="1:7" ht="70">
      <c r="A47" s="18" t="s">
        <v>536</v>
      </c>
      <c r="B47" s="18" t="s">
        <v>77</v>
      </c>
      <c r="C47" s="18" t="s">
        <v>134</v>
      </c>
      <c r="D47" s="19">
        <v>2</v>
      </c>
      <c r="E47" s="20" t="s">
        <v>83</v>
      </c>
      <c r="F47" s="18" t="s">
        <v>76</v>
      </c>
      <c r="G47" s="18" t="s">
        <v>483</v>
      </c>
    </row>
    <row r="48" spans="1:7" ht="70">
      <c r="A48" s="18" t="s">
        <v>537</v>
      </c>
      <c r="B48" s="18" t="s">
        <v>77</v>
      </c>
      <c r="C48" s="18" t="s">
        <v>322</v>
      </c>
      <c r="D48" s="19">
        <v>2</v>
      </c>
      <c r="E48" s="20" t="s">
        <v>744</v>
      </c>
      <c r="F48" s="18" t="s">
        <v>76</v>
      </c>
      <c r="G48" s="18" t="s">
        <v>484</v>
      </c>
    </row>
    <row r="49" spans="1:7" ht="70">
      <c r="A49" s="18" t="s">
        <v>538</v>
      </c>
      <c r="B49" s="18" t="s">
        <v>77</v>
      </c>
      <c r="C49" s="18" t="s">
        <v>81</v>
      </c>
      <c r="D49" s="19">
        <v>2.5</v>
      </c>
      <c r="E49" s="20" t="s">
        <v>745</v>
      </c>
      <c r="F49" s="18" t="s">
        <v>76</v>
      </c>
      <c r="G49" s="18" t="s">
        <v>485</v>
      </c>
    </row>
    <row r="50" spans="1:7" ht="42">
      <c r="A50" s="18" t="s">
        <v>84</v>
      </c>
      <c r="B50" s="18" t="s">
        <v>86</v>
      </c>
      <c r="C50" s="18" t="s">
        <v>323</v>
      </c>
      <c r="D50" s="19">
        <v>2</v>
      </c>
      <c r="E50" s="20" t="s">
        <v>746</v>
      </c>
      <c r="F50" s="18" t="s">
        <v>85</v>
      </c>
      <c r="G50" s="18" t="s">
        <v>87</v>
      </c>
    </row>
    <row r="51" spans="1:7" ht="56">
      <c r="A51" s="18" t="s">
        <v>88</v>
      </c>
      <c r="B51" s="18" t="s">
        <v>86</v>
      </c>
      <c r="C51" s="18" t="s">
        <v>324</v>
      </c>
      <c r="D51" s="19">
        <v>3</v>
      </c>
      <c r="E51" s="20" t="s">
        <v>747</v>
      </c>
      <c r="F51" s="18" t="s">
        <v>85</v>
      </c>
      <c r="G51" s="18" t="s">
        <v>89</v>
      </c>
    </row>
    <row r="52" spans="1:7" ht="56">
      <c r="A52" s="18" t="s">
        <v>539</v>
      </c>
      <c r="B52" s="18" t="s">
        <v>86</v>
      </c>
      <c r="C52" s="18" t="s">
        <v>325</v>
      </c>
      <c r="D52" s="19">
        <v>3</v>
      </c>
      <c r="E52" s="20" t="s">
        <v>748</v>
      </c>
      <c r="F52" s="18" t="s">
        <v>85</v>
      </c>
      <c r="G52" s="18" t="s">
        <v>486</v>
      </c>
    </row>
    <row r="53" spans="1:7" ht="70">
      <c r="A53" s="18" t="s">
        <v>540</v>
      </c>
      <c r="B53" s="18" t="s">
        <v>86</v>
      </c>
      <c r="C53" s="18" t="s">
        <v>326</v>
      </c>
      <c r="D53" s="19">
        <v>2</v>
      </c>
      <c r="E53" s="20" t="s">
        <v>749</v>
      </c>
      <c r="F53" s="18" t="s">
        <v>85</v>
      </c>
      <c r="G53" s="18" t="s">
        <v>487</v>
      </c>
    </row>
    <row r="54" spans="1:7" ht="42">
      <c r="A54" s="18" t="s">
        <v>541</v>
      </c>
      <c r="B54" s="18" t="s">
        <v>86</v>
      </c>
      <c r="C54" s="18" t="s">
        <v>327</v>
      </c>
      <c r="D54" s="19">
        <v>3</v>
      </c>
      <c r="E54" s="20" t="s">
        <v>750</v>
      </c>
      <c r="F54" s="18" t="s">
        <v>85</v>
      </c>
      <c r="G54" s="18" t="s">
        <v>488</v>
      </c>
    </row>
    <row r="55" spans="1:7" ht="56">
      <c r="A55" s="18" t="s">
        <v>542</v>
      </c>
      <c r="B55" s="18" t="s">
        <v>86</v>
      </c>
      <c r="C55" s="18" t="s">
        <v>853</v>
      </c>
      <c r="D55" s="19">
        <v>2.5</v>
      </c>
      <c r="E55" s="20" t="s">
        <v>751</v>
      </c>
      <c r="F55" s="18" t="s">
        <v>85</v>
      </c>
      <c r="G55" s="18" t="s">
        <v>489</v>
      </c>
    </row>
    <row r="56" spans="1:7" ht="70">
      <c r="A56" s="18" t="s">
        <v>543</v>
      </c>
      <c r="B56" s="18" t="s">
        <v>86</v>
      </c>
      <c r="C56" s="18" t="s">
        <v>328</v>
      </c>
      <c r="D56" s="19">
        <v>2.5</v>
      </c>
      <c r="E56" s="20" t="s">
        <v>90</v>
      </c>
      <c r="F56" s="18" t="s">
        <v>85</v>
      </c>
      <c r="G56" s="18" t="s">
        <v>490</v>
      </c>
    </row>
    <row r="57" spans="1:7" ht="56">
      <c r="A57" s="18" t="s">
        <v>544</v>
      </c>
      <c r="B57" s="18" t="s">
        <v>86</v>
      </c>
      <c r="C57" s="18" t="s">
        <v>329</v>
      </c>
      <c r="D57" s="19">
        <v>2</v>
      </c>
      <c r="E57" s="20" t="s">
        <v>91</v>
      </c>
      <c r="F57" s="18" t="s">
        <v>85</v>
      </c>
      <c r="G57" s="18" t="s">
        <v>491</v>
      </c>
    </row>
    <row r="58" spans="1:7" ht="70">
      <c r="A58" s="18" t="s">
        <v>92</v>
      </c>
      <c r="B58" s="18" t="s">
        <v>93</v>
      </c>
      <c r="C58" s="18" t="s">
        <v>330</v>
      </c>
      <c r="D58" s="19">
        <v>3</v>
      </c>
      <c r="E58" s="20" t="s">
        <v>752</v>
      </c>
      <c r="F58" s="18" t="s">
        <v>330</v>
      </c>
      <c r="G58" s="18" t="s">
        <v>94</v>
      </c>
    </row>
    <row r="59" spans="1:7" ht="42">
      <c r="A59" s="18" t="s">
        <v>95</v>
      </c>
      <c r="B59" s="18" t="s">
        <v>93</v>
      </c>
      <c r="C59" s="18" t="s">
        <v>331</v>
      </c>
      <c r="D59" s="19">
        <v>2</v>
      </c>
      <c r="E59" s="20" t="s">
        <v>753</v>
      </c>
      <c r="F59" s="18" t="s">
        <v>330</v>
      </c>
      <c r="G59" s="18" t="s">
        <v>96</v>
      </c>
    </row>
    <row r="60" spans="1:7" ht="42">
      <c r="A60" s="18" t="s">
        <v>97</v>
      </c>
      <c r="B60" s="18" t="s">
        <v>93</v>
      </c>
      <c r="C60" s="18" t="s">
        <v>332</v>
      </c>
      <c r="D60" s="19">
        <v>2</v>
      </c>
      <c r="E60" s="20" t="s">
        <v>754</v>
      </c>
      <c r="F60" s="18" t="s">
        <v>330</v>
      </c>
      <c r="G60" s="18" t="s">
        <v>99</v>
      </c>
    </row>
    <row r="61" spans="1:7" ht="42">
      <c r="A61" s="18" t="s">
        <v>100</v>
      </c>
      <c r="B61" s="18" t="s">
        <v>93</v>
      </c>
      <c r="C61" s="18" t="s">
        <v>98</v>
      </c>
      <c r="D61" s="19">
        <v>3</v>
      </c>
      <c r="E61" s="20" t="s">
        <v>755</v>
      </c>
      <c r="F61" s="18" t="s">
        <v>330</v>
      </c>
      <c r="G61" s="18" t="s">
        <v>101</v>
      </c>
    </row>
    <row r="62" spans="1:7" ht="56">
      <c r="A62" s="18" t="s">
        <v>102</v>
      </c>
      <c r="B62" s="18" t="s">
        <v>93</v>
      </c>
      <c r="C62" s="18" t="s">
        <v>333</v>
      </c>
      <c r="D62" s="19">
        <v>2</v>
      </c>
      <c r="E62" s="20" t="s">
        <v>756</v>
      </c>
      <c r="F62" s="18" t="s">
        <v>330</v>
      </c>
      <c r="G62" s="18" t="s">
        <v>104</v>
      </c>
    </row>
    <row r="63" spans="1:7" ht="56">
      <c r="A63" s="18" t="s">
        <v>105</v>
      </c>
      <c r="B63" s="18" t="s">
        <v>93</v>
      </c>
      <c r="C63" s="18" t="s">
        <v>103</v>
      </c>
      <c r="D63" s="19">
        <v>2</v>
      </c>
      <c r="E63" s="20" t="s">
        <v>757</v>
      </c>
      <c r="F63" s="18" t="s">
        <v>330</v>
      </c>
      <c r="G63" s="18" t="s">
        <v>107</v>
      </c>
    </row>
    <row r="64" spans="1:7" ht="42">
      <c r="A64" s="18" t="s">
        <v>108</v>
      </c>
      <c r="B64" s="18" t="s">
        <v>93</v>
      </c>
      <c r="C64" s="18" t="s">
        <v>854</v>
      </c>
      <c r="D64" s="19">
        <v>3</v>
      </c>
      <c r="E64" s="20" t="s">
        <v>106</v>
      </c>
      <c r="F64" s="18" t="s">
        <v>330</v>
      </c>
      <c r="G64" s="18" t="s">
        <v>109</v>
      </c>
    </row>
    <row r="65" spans="1:7" ht="42">
      <c r="A65" s="18" t="s">
        <v>545</v>
      </c>
      <c r="B65" s="18" t="s">
        <v>93</v>
      </c>
      <c r="C65" s="18" t="s">
        <v>334</v>
      </c>
      <c r="D65" s="19">
        <v>3</v>
      </c>
      <c r="E65" s="20" t="s">
        <v>758</v>
      </c>
      <c r="F65" s="18" t="s">
        <v>330</v>
      </c>
      <c r="G65" s="18" t="s">
        <v>492</v>
      </c>
    </row>
    <row r="66" spans="1:7" ht="42">
      <c r="A66" s="18" t="s">
        <v>110</v>
      </c>
      <c r="B66" s="18" t="s">
        <v>112</v>
      </c>
      <c r="C66" s="18" t="s">
        <v>335</v>
      </c>
      <c r="D66" s="19">
        <v>1</v>
      </c>
      <c r="E66" s="20" t="s">
        <v>759</v>
      </c>
      <c r="F66" s="18" t="s">
        <v>111</v>
      </c>
      <c r="G66" s="18" t="s">
        <v>113</v>
      </c>
    </row>
    <row r="67" spans="1:7" ht="42">
      <c r="A67" s="18" t="s">
        <v>114</v>
      </c>
      <c r="B67" s="18" t="s">
        <v>112</v>
      </c>
      <c r="C67" s="18" t="s">
        <v>336</v>
      </c>
      <c r="D67" s="19">
        <v>1</v>
      </c>
      <c r="E67" s="20" t="s">
        <v>760</v>
      </c>
      <c r="F67" s="18" t="s">
        <v>111</v>
      </c>
      <c r="G67" s="18" t="s">
        <v>115</v>
      </c>
    </row>
    <row r="68" spans="1:7" ht="42">
      <c r="A68" s="18" t="s">
        <v>116</v>
      </c>
      <c r="B68" s="18" t="s">
        <v>112</v>
      </c>
      <c r="C68" s="18" t="s">
        <v>337</v>
      </c>
      <c r="D68" s="19">
        <v>1</v>
      </c>
      <c r="E68" s="20" t="s">
        <v>761</v>
      </c>
      <c r="F68" s="18" t="s">
        <v>111</v>
      </c>
      <c r="G68" s="18" t="s">
        <v>117</v>
      </c>
    </row>
    <row r="69" spans="1:7" ht="56">
      <c r="A69" s="18" t="s">
        <v>118</v>
      </c>
      <c r="B69" s="18" t="s">
        <v>112</v>
      </c>
      <c r="C69" s="18" t="s">
        <v>338</v>
      </c>
      <c r="D69" s="19">
        <v>1.5</v>
      </c>
      <c r="E69" s="20" t="s">
        <v>762</v>
      </c>
      <c r="F69" s="18" t="s">
        <v>111</v>
      </c>
      <c r="G69" s="18" t="s">
        <v>119</v>
      </c>
    </row>
    <row r="70" spans="1:7" ht="56">
      <c r="A70" s="18" t="s">
        <v>546</v>
      </c>
      <c r="B70" s="18" t="s">
        <v>112</v>
      </c>
      <c r="C70" s="18" t="s">
        <v>338</v>
      </c>
      <c r="D70" s="19">
        <v>2</v>
      </c>
      <c r="E70" s="20" t="s">
        <v>763</v>
      </c>
      <c r="F70" s="18" t="s">
        <v>111</v>
      </c>
      <c r="G70" s="18" t="s">
        <v>119</v>
      </c>
    </row>
    <row r="71" spans="1:7" ht="56">
      <c r="A71" s="18" t="s">
        <v>120</v>
      </c>
      <c r="B71" s="18" t="s">
        <v>112</v>
      </c>
      <c r="C71" s="18" t="s">
        <v>339</v>
      </c>
      <c r="D71" s="19">
        <v>1.5</v>
      </c>
      <c r="E71" s="20" t="s">
        <v>764</v>
      </c>
      <c r="F71" s="18" t="s">
        <v>111</v>
      </c>
      <c r="G71" s="18" t="s">
        <v>122</v>
      </c>
    </row>
    <row r="72" spans="1:7" ht="42">
      <c r="A72" s="18" t="s">
        <v>123</v>
      </c>
      <c r="B72" s="18" t="s">
        <v>112</v>
      </c>
      <c r="C72" s="18" t="s">
        <v>340</v>
      </c>
      <c r="D72" s="19">
        <v>1.5</v>
      </c>
      <c r="E72" s="20" t="s">
        <v>765</v>
      </c>
      <c r="F72" s="18" t="s">
        <v>111</v>
      </c>
      <c r="G72" s="18" t="s">
        <v>125</v>
      </c>
    </row>
    <row r="73" spans="1:7" ht="56">
      <c r="A73" s="18" t="s">
        <v>126</v>
      </c>
      <c r="B73" s="18" t="s">
        <v>112</v>
      </c>
      <c r="C73" s="18" t="s">
        <v>341</v>
      </c>
      <c r="D73" s="19">
        <v>1.5</v>
      </c>
      <c r="E73" s="20" t="s">
        <v>121</v>
      </c>
      <c r="F73" s="18" t="s">
        <v>111</v>
      </c>
      <c r="G73" s="18" t="s">
        <v>127</v>
      </c>
    </row>
    <row r="74" spans="1:7" ht="56">
      <c r="A74" s="18" t="s">
        <v>128</v>
      </c>
      <c r="B74" s="18" t="s">
        <v>112</v>
      </c>
      <c r="C74" s="18" t="s">
        <v>124</v>
      </c>
      <c r="D74" s="19">
        <v>1.5</v>
      </c>
      <c r="E74" s="20" t="s">
        <v>766</v>
      </c>
      <c r="F74" s="18" t="s">
        <v>111</v>
      </c>
      <c r="G74" s="18" t="s">
        <v>129</v>
      </c>
    </row>
    <row r="75" spans="1:7" ht="84">
      <c r="A75" s="18" t="s">
        <v>130</v>
      </c>
      <c r="B75" s="18" t="s">
        <v>112</v>
      </c>
      <c r="C75" s="18" t="s">
        <v>201</v>
      </c>
      <c r="D75" s="19">
        <v>2</v>
      </c>
      <c r="E75" s="20" t="s">
        <v>767</v>
      </c>
      <c r="F75" s="18" t="s">
        <v>111</v>
      </c>
      <c r="G75" s="18" t="s">
        <v>132</v>
      </c>
    </row>
    <row r="76" spans="1:7" ht="70">
      <c r="A76" s="18" t="s">
        <v>133</v>
      </c>
      <c r="B76" s="18" t="s">
        <v>112</v>
      </c>
      <c r="C76" s="18" t="s">
        <v>131</v>
      </c>
      <c r="D76" s="19">
        <v>2</v>
      </c>
      <c r="E76" s="20" t="s">
        <v>768</v>
      </c>
      <c r="F76" s="18" t="s">
        <v>111</v>
      </c>
      <c r="G76" s="18" t="s">
        <v>135</v>
      </c>
    </row>
    <row r="77" spans="1:7" ht="42">
      <c r="A77" s="18" t="s">
        <v>547</v>
      </c>
      <c r="B77" s="18" t="s">
        <v>112</v>
      </c>
      <c r="C77" s="18" t="s">
        <v>131</v>
      </c>
      <c r="D77" s="19">
        <v>2</v>
      </c>
      <c r="E77" s="20" t="s">
        <v>769</v>
      </c>
      <c r="F77" s="18" t="s">
        <v>111</v>
      </c>
      <c r="G77" s="18" t="s">
        <v>135</v>
      </c>
    </row>
    <row r="78" spans="1:7" ht="70">
      <c r="A78" s="18" t="s">
        <v>568</v>
      </c>
      <c r="B78" s="18" t="s">
        <v>112</v>
      </c>
      <c r="C78" s="18" t="s">
        <v>134</v>
      </c>
      <c r="D78" s="19">
        <v>1.5</v>
      </c>
      <c r="E78" s="20" t="s">
        <v>770</v>
      </c>
      <c r="F78" s="18" t="s">
        <v>111</v>
      </c>
      <c r="G78" s="18" t="s">
        <v>573</v>
      </c>
    </row>
    <row r="79" spans="1:7" ht="56">
      <c r="A79" s="18" t="s">
        <v>136</v>
      </c>
      <c r="B79" s="18" t="s">
        <v>138</v>
      </c>
      <c r="C79" s="18" t="s">
        <v>342</v>
      </c>
      <c r="D79" s="19">
        <v>2</v>
      </c>
      <c r="E79" s="20" t="s">
        <v>771</v>
      </c>
      <c r="F79" s="18" t="s">
        <v>137</v>
      </c>
      <c r="G79" s="18" t="s">
        <v>139</v>
      </c>
    </row>
    <row r="80" spans="1:7" ht="42">
      <c r="A80" s="18" t="s">
        <v>140</v>
      </c>
      <c r="B80" s="18" t="s">
        <v>138</v>
      </c>
      <c r="C80" s="18" t="s">
        <v>343</v>
      </c>
      <c r="D80" s="19">
        <v>3</v>
      </c>
      <c r="E80" s="20" t="s">
        <v>772</v>
      </c>
      <c r="F80" s="18" t="s">
        <v>137</v>
      </c>
      <c r="G80" s="18" t="s">
        <v>141</v>
      </c>
    </row>
    <row r="81" spans="1:7" ht="42">
      <c r="A81" s="18" t="s">
        <v>142</v>
      </c>
      <c r="B81" s="18" t="s">
        <v>138</v>
      </c>
      <c r="C81" s="18" t="s">
        <v>344</v>
      </c>
      <c r="D81" s="19">
        <v>3</v>
      </c>
      <c r="E81" s="20" t="s">
        <v>773</v>
      </c>
      <c r="F81" s="18" t="s">
        <v>137</v>
      </c>
      <c r="G81" s="18" t="s">
        <v>143</v>
      </c>
    </row>
    <row r="82" spans="1:7" ht="56">
      <c r="A82" s="18" t="s">
        <v>144</v>
      </c>
      <c r="B82" s="18" t="s">
        <v>138</v>
      </c>
      <c r="C82" s="18" t="s">
        <v>345</v>
      </c>
      <c r="D82" s="19">
        <v>3</v>
      </c>
      <c r="E82" s="20" t="s">
        <v>774</v>
      </c>
      <c r="F82" s="18" t="s">
        <v>137</v>
      </c>
      <c r="G82" s="18" t="s">
        <v>145</v>
      </c>
    </row>
    <row r="83" spans="1:7" ht="56">
      <c r="A83" s="18" t="s">
        <v>146</v>
      </c>
      <c r="B83" s="18" t="s">
        <v>138</v>
      </c>
      <c r="C83" s="18" t="s">
        <v>76</v>
      </c>
      <c r="D83" s="19">
        <v>3</v>
      </c>
      <c r="E83" s="20" t="s">
        <v>775</v>
      </c>
      <c r="F83" s="18" t="s">
        <v>137</v>
      </c>
      <c r="G83" s="18" t="s">
        <v>148</v>
      </c>
    </row>
    <row r="84" spans="1:7" ht="56">
      <c r="A84" s="18" t="s">
        <v>149</v>
      </c>
      <c r="B84" s="18" t="s">
        <v>138</v>
      </c>
      <c r="C84" s="18" t="s">
        <v>346</v>
      </c>
      <c r="D84" s="19">
        <v>3</v>
      </c>
      <c r="E84" s="20" t="s">
        <v>147</v>
      </c>
      <c r="F84" s="18" t="s">
        <v>137</v>
      </c>
      <c r="G84" s="18" t="s">
        <v>150</v>
      </c>
    </row>
    <row r="85" spans="1:7" ht="42">
      <c r="A85" s="18" t="s">
        <v>569</v>
      </c>
      <c r="B85" s="18" t="s">
        <v>138</v>
      </c>
      <c r="C85" s="18" t="s">
        <v>134</v>
      </c>
      <c r="D85" s="19">
        <v>3</v>
      </c>
      <c r="E85" s="20" t="s">
        <v>776</v>
      </c>
      <c r="F85" s="18" t="s">
        <v>137</v>
      </c>
      <c r="G85" s="18" t="s">
        <v>574</v>
      </c>
    </row>
    <row r="86" spans="1:7" ht="28">
      <c r="A86" s="18" t="s">
        <v>151</v>
      </c>
      <c r="B86" s="18" t="s">
        <v>153</v>
      </c>
      <c r="C86" s="18" t="s">
        <v>347</v>
      </c>
      <c r="D86" s="19">
        <v>1.5</v>
      </c>
      <c r="E86" s="20" t="s">
        <v>777</v>
      </c>
      <c r="F86" s="18" t="s">
        <v>152</v>
      </c>
      <c r="G86" s="18" t="s">
        <v>154</v>
      </c>
    </row>
    <row r="87" spans="1:7" ht="42">
      <c r="A87" s="18" t="s">
        <v>155</v>
      </c>
      <c r="B87" s="18" t="s">
        <v>153</v>
      </c>
      <c r="C87" s="18" t="s">
        <v>348</v>
      </c>
      <c r="D87" s="19">
        <v>2.5</v>
      </c>
      <c r="E87" s="20" t="s">
        <v>778</v>
      </c>
      <c r="F87" s="18" t="s">
        <v>152</v>
      </c>
      <c r="G87" s="18" t="s">
        <v>156</v>
      </c>
    </row>
    <row r="88" spans="1:7" ht="56">
      <c r="A88" s="18" t="s">
        <v>157</v>
      </c>
      <c r="B88" s="18" t="s">
        <v>153</v>
      </c>
      <c r="C88" s="18" t="s">
        <v>348</v>
      </c>
      <c r="D88" s="19">
        <v>2</v>
      </c>
      <c r="E88" s="20" t="s">
        <v>158</v>
      </c>
      <c r="F88" s="18" t="s">
        <v>152</v>
      </c>
      <c r="G88" s="18" t="s">
        <v>156</v>
      </c>
    </row>
    <row r="89" spans="1:7" ht="42">
      <c r="A89" s="18" t="s">
        <v>159</v>
      </c>
      <c r="B89" s="18" t="s">
        <v>153</v>
      </c>
      <c r="C89" s="18" t="s">
        <v>349</v>
      </c>
      <c r="D89" s="19">
        <v>1.5</v>
      </c>
      <c r="E89" s="20" t="s">
        <v>779</v>
      </c>
      <c r="F89" s="18" t="s">
        <v>152</v>
      </c>
      <c r="G89" s="18" t="s">
        <v>161</v>
      </c>
    </row>
    <row r="90" spans="1:7" ht="42">
      <c r="A90" s="18" t="s">
        <v>162</v>
      </c>
      <c r="B90" s="18" t="s">
        <v>153</v>
      </c>
      <c r="C90" s="18" t="s">
        <v>160</v>
      </c>
      <c r="D90" s="19">
        <v>1.5</v>
      </c>
      <c r="E90" s="20" t="s">
        <v>780</v>
      </c>
      <c r="F90" s="18" t="s">
        <v>152</v>
      </c>
      <c r="G90" s="18" t="s">
        <v>163</v>
      </c>
    </row>
    <row r="91" spans="1:7" ht="28">
      <c r="A91" s="18" t="s">
        <v>570</v>
      </c>
      <c r="B91" s="18" t="s">
        <v>153</v>
      </c>
      <c r="C91" s="18" t="s">
        <v>331</v>
      </c>
      <c r="D91" s="19">
        <v>2.5</v>
      </c>
      <c r="E91" s="20" t="s">
        <v>781</v>
      </c>
      <c r="F91" s="18" t="s">
        <v>152</v>
      </c>
      <c r="G91" s="18" t="s">
        <v>575</v>
      </c>
    </row>
    <row r="92" spans="1:7" ht="42">
      <c r="A92" s="18" t="s">
        <v>548</v>
      </c>
      <c r="B92" s="18" t="s">
        <v>153</v>
      </c>
      <c r="C92" s="18" t="s">
        <v>350</v>
      </c>
      <c r="D92" s="19">
        <v>3</v>
      </c>
      <c r="E92" s="20" t="s">
        <v>782</v>
      </c>
      <c r="F92" s="18" t="s">
        <v>152</v>
      </c>
      <c r="G92" s="18" t="s">
        <v>493</v>
      </c>
    </row>
    <row r="93" spans="1:7" ht="42">
      <c r="A93" s="18" t="s">
        <v>549</v>
      </c>
      <c r="B93" s="18" t="s">
        <v>153</v>
      </c>
      <c r="C93" s="18" t="s">
        <v>351</v>
      </c>
      <c r="D93" s="19">
        <v>2.5</v>
      </c>
      <c r="E93" s="20" t="s">
        <v>783</v>
      </c>
      <c r="F93" s="18" t="s">
        <v>152</v>
      </c>
      <c r="G93" s="18" t="s">
        <v>494</v>
      </c>
    </row>
    <row r="94" spans="1:7" ht="56">
      <c r="A94" s="18" t="s">
        <v>550</v>
      </c>
      <c r="B94" s="18" t="s">
        <v>153</v>
      </c>
      <c r="C94" s="18" t="s">
        <v>352</v>
      </c>
      <c r="D94" s="19">
        <v>3</v>
      </c>
      <c r="E94" s="20" t="s">
        <v>784</v>
      </c>
      <c r="F94" s="18" t="s">
        <v>152</v>
      </c>
      <c r="G94" s="18" t="s">
        <v>495</v>
      </c>
    </row>
    <row r="95" spans="1:7" ht="56">
      <c r="A95" s="18" t="s">
        <v>164</v>
      </c>
      <c r="B95" s="18" t="s">
        <v>166</v>
      </c>
      <c r="C95" s="18" t="s">
        <v>167</v>
      </c>
      <c r="D95" s="19">
        <v>2</v>
      </c>
      <c r="E95" s="20" t="s">
        <v>785</v>
      </c>
      <c r="F95" s="18" t="s">
        <v>165</v>
      </c>
      <c r="G95" s="18" t="s">
        <v>168</v>
      </c>
    </row>
    <row r="96" spans="1:7" ht="70">
      <c r="A96" s="18" t="s">
        <v>169</v>
      </c>
      <c r="B96" s="18" t="s">
        <v>166</v>
      </c>
      <c r="C96" s="18" t="s">
        <v>353</v>
      </c>
      <c r="D96" s="19">
        <v>3</v>
      </c>
      <c r="E96" s="20" t="s">
        <v>786</v>
      </c>
      <c r="F96" s="18" t="s">
        <v>165</v>
      </c>
      <c r="G96" s="18" t="s">
        <v>170</v>
      </c>
    </row>
    <row r="97" spans="1:7" ht="42">
      <c r="A97" s="18" t="s">
        <v>171</v>
      </c>
      <c r="B97" s="18" t="s">
        <v>166</v>
      </c>
      <c r="C97" s="18" t="s">
        <v>172</v>
      </c>
      <c r="D97" s="19">
        <v>3</v>
      </c>
      <c r="E97" s="20" t="s">
        <v>787</v>
      </c>
      <c r="F97" s="18" t="s">
        <v>165</v>
      </c>
      <c r="G97" s="18" t="s">
        <v>173</v>
      </c>
    </row>
    <row r="98" spans="1:7" ht="56">
      <c r="A98" s="18" t="s">
        <v>174</v>
      </c>
      <c r="B98" s="18" t="s">
        <v>166</v>
      </c>
      <c r="C98" s="18" t="s">
        <v>175</v>
      </c>
      <c r="D98" s="19">
        <v>1.5</v>
      </c>
      <c r="E98" s="20" t="s">
        <v>788</v>
      </c>
      <c r="F98" s="18" t="s">
        <v>165</v>
      </c>
      <c r="G98" s="18" t="s">
        <v>176</v>
      </c>
    </row>
    <row r="99" spans="1:7" ht="42">
      <c r="A99" s="18" t="s">
        <v>177</v>
      </c>
      <c r="B99" s="18" t="s">
        <v>166</v>
      </c>
      <c r="C99" s="18" t="s">
        <v>354</v>
      </c>
      <c r="D99" s="19">
        <v>2.5</v>
      </c>
      <c r="E99" s="20" t="s">
        <v>178</v>
      </c>
      <c r="F99" s="18" t="s">
        <v>165</v>
      </c>
      <c r="G99" s="18" t="s">
        <v>179</v>
      </c>
    </row>
    <row r="100" spans="1:7" ht="42">
      <c r="A100" s="18" t="s">
        <v>180</v>
      </c>
      <c r="B100" s="18" t="s">
        <v>166</v>
      </c>
      <c r="C100" s="18" t="s">
        <v>355</v>
      </c>
      <c r="D100" s="19">
        <v>2</v>
      </c>
      <c r="E100" s="20" t="s">
        <v>789</v>
      </c>
      <c r="F100" s="18" t="s">
        <v>165</v>
      </c>
      <c r="G100" s="18" t="s">
        <v>181</v>
      </c>
    </row>
    <row r="101" spans="1:7" ht="56">
      <c r="A101" s="18" t="s">
        <v>551</v>
      </c>
      <c r="B101" s="18" t="s">
        <v>166</v>
      </c>
      <c r="C101" s="18" t="s">
        <v>356</v>
      </c>
      <c r="D101" s="19">
        <v>2</v>
      </c>
      <c r="E101" s="20" t="s">
        <v>790</v>
      </c>
      <c r="F101" s="18" t="s">
        <v>165</v>
      </c>
      <c r="G101" s="18" t="s">
        <v>496</v>
      </c>
    </row>
    <row r="102" spans="1:7" ht="56">
      <c r="A102" s="18" t="s">
        <v>552</v>
      </c>
      <c r="B102" s="18" t="s">
        <v>166</v>
      </c>
      <c r="C102" s="18" t="s">
        <v>357</v>
      </c>
      <c r="D102" s="19">
        <v>2</v>
      </c>
      <c r="E102" s="20" t="s">
        <v>791</v>
      </c>
      <c r="F102" s="18" t="s">
        <v>165</v>
      </c>
      <c r="G102" s="18" t="s">
        <v>497</v>
      </c>
    </row>
    <row r="103" spans="1:7" ht="56">
      <c r="A103" s="18" t="s">
        <v>553</v>
      </c>
      <c r="B103" s="18" t="s">
        <v>166</v>
      </c>
      <c r="C103" s="18" t="s">
        <v>357</v>
      </c>
      <c r="D103" s="19">
        <v>2</v>
      </c>
      <c r="E103" s="20" t="s">
        <v>182</v>
      </c>
      <c r="F103" s="18" t="s">
        <v>165</v>
      </c>
      <c r="G103" s="18" t="s">
        <v>497</v>
      </c>
    </row>
    <row r="104" spans="1:7" ht="42">
      <c r="A104" s="18" t="s">
        <v>183</v>
      </c>
      <c r="B104" s="18" t="s">
        <v>186</v>
      </c>
      <c r="C104" s="18" t="s">
        <v>358</v>
      </c>
      <c r="D104" s="19">
        <v>1</v>
      </c>
      <c r="E104" s="20" t="s">
        <v>184</v>
      </c>
      <c r="F104" s="18" t="s">
        <v>185</v>
      </c>
      <c r="G104" s="18" t="s">
        <v>187</v>
      </c>
    </row>
    <row r="105" spans="1:7" ht="42">
      <c r="A105" s="18" t="s">
        <v>188</v>
      </c>
      <c r="B105" s="18" t="s">
        <v>186</v>
      </c>
      <c r="C105" s="18" t="s">
        <v>190</v>
      </c>
      <c r="D105" s="19">
        <v>1</v>
      </c>
      <c r="E105" s="20" t="s">
        <v>189</v>
      </c>
      <c r="F105" s="18" t="s">
        <v>185</v>
      </c>
      <c r="G105" s="18" t="s">
        <v>191</v>
      </c>
    </row>
    <row r="106" spans="1:7" ht="56">
      <c r="A106" s="18" t="s">
        <v>192</v>
      </c>
      <c r="B106" s="18" t="s">
        <v>186</v>
      </c>
      <c r="C106" s="18" t="s">
        <v>359</v>
      </c>
      <c r="D106" s="19">
        <v>2</v>
      </c>
      <c r="E106" s="20" t="s">
        <v>792</v>
      </c>
      <c r="F106" s="18" t="s">
        <v>185</v>
      </c>
      <c r="G106" s="18" t="s">
        <v>193</v>
      </c>
    </row>
    <row r="107" spans="1:7" ht="70">
      <c r="A107" s="18" t="s">
        <v>194</v>
      </c>
      <c r="B107" s="18" t="s">
        <v>186</v>
      </c>
      <c r="C107" s="18" t="s">
        <v>360</v>
      </c>
      <c r="D107" s="19">
        <v>2.5</v>
      </c>
      <c r="E107" s="20" t="s">
        <v>793</v>
      </c>
      <c r="F107" s="18" t="s">
        <v>185</v>
      </c>
      <c r="G107" s="18" t="s">
        <v>195</v>
      </c>
    </row>
    <row r="108" spans="1:7" ht="42">
      <c r="A108" s="18" t="s">
        <v>196</v>
      </c>
      <c r="B108" s="18" t="s">
        <v>186</v>
      </c>
      <c r="C108" s="18" t="s">
        <v>855</v>
      </c>
      <c r="D108" s="19">
        <v>2.5</v>
      </c>
      <c r="E108" s="20" t="s">
        <v>794</v>
      </c>
      <c r="F108" s="18" t="s">
        <v>185</v>
      </c>
      <c r="G108" s="18" t="s">
        <v>197</v>
      </c>
    </row>
    <row r="109" spans="1:7" ht="70">
      <c r="A109" s="18" t="s">
        <v>198</v>
      </c>
      <c r="B109" s="18" t="s">
        <v>186</v>
      </c>
      <c r="C109" s="18" t="s">
        <v>361</v>
      </c>
      <c r="D109" s="19">
        <v>2.5</v>
      </c>
      <c r="E109" s="20" t="s">
        <v>795</v>
      </c>
      <c r="F109" s="18" t="s">
        <v>185</v>
      </c>
      <c r="G109" s="18" t="s">
        <v>199</v>
      </c>
    </row>
    <row r="110" spans="1:7" ht="84">
      <c r="A110" s="18" t="s">
        <v>200</v>
      </c>
      <c r="B110" s="18" t="s">
        <v>186</v>
      </c>
      <c r="C110" s="18" t="s">
        <v>362</v>
      </c>
      <c r="D110" s="19">
        <v>3</v>
      </c>
      <c r="E110" s="20" t="s">
        <v>796</v>
      </c>
      <c r="F110" s="18" t="s">
        <v>185</v>
      </c>
      <c r="G110" s="18" t="s">
        <v>202</v>
      </c>
    </row>
    <row r="111" spans="1:7" ht="42">
      <c r="A111" s="18" t="s">
        <v>203</v>
      </c>
      <c r="B111" s="18" t="s">
        <v>186</v>
      </c>
      <c r="C111" s="18" t="s">
        <v>201</v>
      </c>
      <c r="D111" s="19">
        <v>3</v>
      </c>
      <c r="E111" s="20" t="s">
        <v>797</v>
      </c>
      <c r="F111" s="18" t="s">
        <v>185</v>
      </c>
      <c r="G111" s="18" t="s">
        <v>576</v>
      </c>
    </row>
    <row r="112" spans="1:7" ht="56">
      <c r="A112" s="18" t="s">
        <v>554</v>
      </c>
      <c r="B112" s="18" t="s">
        <v>186</v>
      </c>
      <c r="C112" s="18" t="s">
        <v>363</v>
      </c>
      <c r="D112" s="19">
        <v>2.5</v>
      </c>
      <c r="E112" s="20" t="s">
        <v>798</v>
      </c>
      <c r="F112" s="18" t="s">
        <v>185</v>
      </c>
      <c r="G112" s="18" t="s">
        <v>498</v>
      </c>
    </row>
    <row r="113" spans="1:7" ht="42">
      <c r="A113" s="18" t="s">
        <v>204</v>
      </c>
      <c r="B113" s="18" t="s">
        <v>205</v>
      </c>
      <c r="C113" s="18" t="s">
        <v>856</v>
      </c>
      <c r="D113" s="19">
        <v>2</v>
      </c>
      <c r="E113" s="20" t="s">
        <v>799</v>
      </c>
      <c r="F113" s="18" t="s">
        <v>846</v>
      </c>
      <c r="G113" s="18" t="s">
        <v>206</v>
      </c>
    </row>
    <row r="114" spans="1:7" ht="42">
      <c r="A114" s="18" t="s">
        <v>207</v>
      </c>
      <c r="B114" s="18" t="s">
        <v>205</v>
      </c>
      <c r="C114" s="18" t="s">
        <v>364</v>
      </c>
      <c r="D114" s="19">
        <v>2</v>
      </c>
      <c r="E114" s="20" t="s">
        <v>800</v>
      </c>
      <c r="F114" s="18" t="s">
        <v>846</v>
      </c>
      <c r="G114" s="18" t="s">
        <v>208</v>
      </c>
    </row>
    <row r="115" spans="1:7" ht="42">
      <c r="A115" s="18" t="s">
        <v>209</v>
      </c>
      <c r="B115" s="18" t="s">
        <v>205</v>
      </c>
      <c r="C115" s="18" t="s">
        <v>365</v>
      </c>
      <c r="D115" s="19">
        <v>1.5</v>
      </c>
      <c r="E115" s="20" t="s">
        <v>801</v>
      </c>
      <c r="F115" s="18" t="s">
        <v>846</v>
      </c>
      <c r="G115" s="18" t="s">
        <v>210</v>
      </c>
    </row>
    <row r="116" spans="1:7" ht="56">
      <c r="A116" s="18" t="s">
        <v>211</v>
      </c>
      <c r="B116" s="18" t="s">
        <v>205</v>
      </c>
      <c r="C116" s="18" t="s">
        <v>366</v>
      </c>
      <c r="D116" s="19">
        <v>1.5</v>
      </c>
      <c r="E116" s="20" t="s">
        <v>802</v>
      </c>
      <c r="F116" s="18" t="s">
        <v>846</v>
      </c>
      <c r="G116" s="18" t="s">
        <v>212</v>
      </c>
    </row>
    <row r="117" spans="1:7" ht="56">
      <c r="A117" s="18" t="s">
        <v>214</v>
      </c>
      <c r="B117" s="18" t="s">
        <v>205</v>
      </c>
      <c r="C117" s="18" t="s">
        <v>367</v>
      </c>
      <c r="D117" s="19">
        <v>2</v>
      </c>
      <c r="E117" s="20" t="s">
        <v>803</v>
      </c>
      <c r="F117" s="18" t="s">
        <v>846</v>
      </c>
      <c r="G117" s="18" t="s">
        <v>215</v>
      </c>
    </row>
    <row r="118" spans="1:7" ht="42">
      <c r="A118" s="18" t="s">
        <v>216</v>
      </c>
      <c r="B118" s="18" t="s">
        <v>205</v>
      </c>
      <c r="C118" s="18" t="s">
        <v>368</v>
      </c>
      <c r="D118" s="19">
        <v>2</v>
      </c>
      <c r="E118" s="20" t="s">
        <v>804</v>
      </c>
      <c r="F118" s="18" t="s">
        <v>846</v>
      </c>
      <c r="G118" s="18" t="s">
        <v>217</v>
      </c>
    </row>
    <row r="119" spans="1:7" ht="42">
      <c r="A119" s="18" t="s">
        <v>555</v>
      </c>
      <c r="B119" s="18" t="s">
        <v>205</v>
      </c>
      <c r="C119" s="18" t="s">
        <v>369</v>
      </c>
      <c r="D119" s="19">
        <v>2</v>
      </c>
      <c r="E119" s="20" t="s">
        <v>805</v>
      </c>
      <c r="F119" s="18" t="s">
        <v>846</v>
      </c>
      <c r="G119" s="18" t="s">
        <v>499</v>
      </c>
    </row>
    <row r="120" spans="1:7" ht="70">
      <c r="A120" s="18" t="s">
        <v>556</v>
      </c>
      <c r="B120" s="18" t="s">
        <v>205</v>
      </c>
      <c r="C120" s="18" t="s">
        <v>370</v>
      </c>
      <c r="D120" s="19">
        <v>2</v>
      </c>
      <c r="E120" s="20" t="s">
        <v>806</v>
      </c>
      <c r="F120" s="18" t="s">
        <v>846</v>
      </c>
      <c r="G120" s="18" t="s">
        <v>500</v>
      </c>
    </row>
    <row r="121" spans="1:7" ht="56">
      <c r="A121" s="18" t="s">
        <v>557</v>
      </c>
      <c r="B121" s="18" t="s">
        <v>205</v>
      </c>
      <c r="C121" s="18" t="s">
        <v>371</v>
      </c>
      <c r="D121" s="19">
        <v>1.5</v>
      </c>
      <c r="E121" s="20" t="s">
        <v>213</v>
      </c>
      <c r="F121" s="18" t="s">
        <v>846</v>
      </c>
      <c r="G121" s="18" t="s">
        <v>501</v>
      </c>
    </row>
    <row r="122" spans="1:7" ht="42">
      <c r="A122" s="18" t="s">
        <v>558</v>
      </c>
      <c r="B122" s="18" t="s">
        <v>205</v>
      </c>
      <c r="C122" s="18" t="s">
        <v>857</v>
      </c>
      <c r="D122" s="19">
        <v>1.5</v>
      </c>
      <c r="E122" s="20" t="s">
        <v>807</v>
      </c>
      <c r="F122" s="18" t="s">
        <v>846</v>
      </c>
      <c r="G122" s="18" t="s">
        <v>502</v>
      </c>
    </row>
    <row r="123" spans="1:7" ht="56">
      <c r="A123" s="18" t="s">
        <v>559</v>
      </c>
      <c r="B123" s="18" t="s">
        <v>205</v>
      </c>
      <c r="C123" s="18" t="s">
        <v>372</v>
      </c>
      <c r="D123" s="19">
        <v>2</v>
      </c>
      <c r="E123" s="20" t="s">
        <v>808</v>
      </c>
      <c r="F123" s="18" t="s">
        <v>846</v>
      </c>
      <c r="G123" s="18" t="s">
        <v>503</v>
      </c>
    </row>
    <row r="124" spans="1:7" ht="56">
      <c r="A124" s="18" t="s">
        <v>218</v>
      </c>
      <c r="B124" s="18" t="s">
        <v>220</v>
      </c>
      <c r="C124" s="18" t="s">
        <v>373</v>
      </c>
      <c r="D124" s="19">
        <v>1.5</v>
      </c>
      <c r="E124" s="20" t="s">
        <v>219</v>
      </c>
      <c r="F124" s="18" t="s">
        <v>847</v>
      </c>
      <c r="G124" s="18" t="s">
        <v>221</v>
      </c>
    </row>
    <row r="125" spans="1:7" ht="70">
      <c r="A125" s="18" t="s">
        <v>222</v>
      </c>
      <c r="B125" s="18" t="s">
        <v>220</v>
      </c>
      <c r="C125" s="18" t="s">
        <v>374</v>
      </c>
      <c r="D125" s="19">
        <v>2</v>
      </c>
      <c r="E125" s="20" t="s">
        <v>809</v>
      </c>
      <c r="F125" s="18" t="s">
        <v>847</v>
      </c>
      <c r="G125" s="18" t="s">
        <v>223</v>
      </c>
    </row>
    <row r="126" spans="1:7" ht="42">
      <c r="A126" s="18" t="s">
        <v>224</v>
      </c>
      <c r="B126" s="18" t="s">
        <v>220</v>
      </c>
      <c r="C126" s="18" t="s">
        <v>375</v>
      </c>
      <c r="D126" s="19">
        <v>2.5</v>
      </c>
      <c r="E126" s="20" t="s">
        <v>810</v>
      </c>
      <c r="F126" s="18" t="s">
        <v>847</v>
      </c>
      <c r="G126" s="18" t="s">
        <v>225</v>
      </c>
    </row>
    <row r="127" spans="1:7" ht="42">
      <c r="A127" s="18" t="s">
        <v>226</v>
      </c>
      <c r="B127" s="18" t="s">
        <v>220</v>
      </c>
      <c r="C127" s="18" t="s">
        <v>376</v>
      </c>
      <c r="D127" s="19">
        <v>2</v>
      </c>
      <c r="E127" s="20" t="s">
        <v>811</v>
      </c>
      <c r="F127" s="18" t="s">
        <v>847</v>
      </c>
      <c r="G127" s="18" t="s">
        <v>228</v>
      </c>
    </row>
    <row r="128" spans="1:7" ht="42">
      <c r="A128" s="18" t="s">
        <v>229</v>
      </c>
      <c r="B128" s="18" t="s">
        <v>220</v>
      </c>
      <c r="C128" s="18" t="s">
        <v>377</v>
      </c>
      <c r="D128" s="19">
        <v>1.5</v>
      </c>
      <c r="E128" s="20" t="s">
        <v>227</v>
      </c>
      <c r="F128" s="18" t="s">
        <v>847</v>
      </c>
      <c r="G128" s="18" t="s">
        <v>230</v>
      </c>
    </row>
    <row r="129" spans="1:7" ht="42">
      <c r="A129" s="18" t="s">
        <v>231</v>
      </c>
      <c r="B129" s="18" t="s">
        <v>220</v>
      </c>
      <c r="C129" s="18" t="s">
        <v>378</v>
      </c>
      <c r="D129" s="19">
        <v>3</v>
      </c>
      <c r="E129" s="20" t="s">
        <v>812</v>
      </c>
      <c r="F129" s="18" t="s">
        <v>847</v>
      </c>
      <c r="G129" s="18" t="s">
        <v>233</v>
      </c>
    </row>
    <row r="130" spans="1:7" ht="56">
      <c r="A130" s="18" t="s">
        <v>560</v>
      </c>
      <c r="B130" s="18" t="s">
        <v>220</v>
      </c>
      <c r="C130" s="18" t="s">
        <v>379</v>
      </c>
      <c r="D130" s="19">
        <v>3</v>
      </c>
      <c r="E130" s="20" t="s">
        <v>813</v>
      </c>
      <c r="F130" s="18" t="s">
        <v>847</v>
      </c>
      <c r="G130" s="18" t="s">
        <v>504</v>
      </c>
    </row>
    <row r="131" spans="1:7" ht="28">
      <c r="A131" s="18" t="s">
        <v>561</v>
      </c>
      <c r="B131" s="18" t="s">
        <v>220</v>
      </c>
      <c r="C131" s="18" t="s">
        <v>380</v>
      </c>
      <c r="D131" s="19">
        <v>2.5</v>
      </c>
      <c r="E131" s="20" t="s">
        <v>232</v>
      </c>
      <c r="F131" s="18" t="s">
        <v>847</v>
      </c>
      <c r="G131" s="18" t="s">
        <v>505</v>
      </c>
    </row>
    <row r="132" spans="1:7" ht="70">
      <c r="A132" s="18" t="s">
        <v>562</v>
      </c>
      <c r="B132" s="18" t="s">
        <v>220</v>
      </c>
      <c r="C132" s="18" t="s">
        <v>381</v>
      </c>
      <c r="D132" s="19">
        <v>2</v>
      </c>
      <c r="E132" s="20" t="s">
        <v>814</v>
      </c>
      <c r="F132" s="18" t="s">
        <v>847</v>
      </c>
      <c r="G132" s="18" t="s">
        <v>506</v>
      </c>
    </row>
    <row r="133" spans="1:7" ht="42">
      <c r="A133" s="18" t="s">
        <v>234</v>
      </c>
      <c r="B133" s="18" t="s">
        <v>235</v>
      </c>
      <c r="C133" s="18" t="s">
        <v>382</v>
      </c>
      <c r="D133" s="19">
        <v>2</v>
      </c>
      <c r="E133" s="20" t="s">
        <v>815</v>
      </c>
      <c r="F133" s="18" t="s">
        <v>848</v>
      </c>
      <c r="G133" s="18" t="s">
        <v>236</v>
      </c>
    </row>
    <row r="134" spans="1:7" ht="42">
      <c r="A134" s="18" t="s">
        <v>237</v>
      </c>
      <c r="B134" s="18" t="s">
        <v>235</v>
      </c>
      <c r="C134" s="18" t="s">
        <v>383</v>
      </c>
      <c r="D134" s="19">
        <v>2.5</v>
      </c>
      <c r="E134" s="20" t="s">
        <v>816</v>
      </c>
      <c r="F134" s="18" t="s">
        <v>848</v>
      </c>
      <c r="G134" s="18" t="s">
        <v>238</v>
      </c>
    </row>
    <row r="135" spans="1:7" ht="42">
      <c r="A135" s="18" t="s">
        <v>239</v>
      </c>
      <c r="B135" s="18" t="s">
        <v>235</v>
      </c>
      <c r="C135" s="18" t="s">
        <v>858</v>
      </c>
      <c r="D135" s="19">
        <v>3</v>
      </c>
      <c r="E135" s="20" t="s">
        <v>817</v>
      </c>
      <c r="F135" s="18" t="s">
        <v>848</v>
      </c>
      <c r="G135" s="18" t="s">
        <v>240</v>
      </c>
    </row>
    <row r="136" spans="1:7" ht="42">
      <c r="A136" s="18" t="s">
        <v>241</v>
      </c>
      <c r="B136" s="18" t="s">
        <v>235</v>
      </c>
      <c r="C136" s="18" t="s">
        <v>384</v>
      </c>
      <c r="D136" s="19">
        <v>3</v>
      </c>
      <c r="E136" s="20" t="s">
        <v>818</v>
      </c>
      <c r="F136" s="18" t="s">
        <v>848</v>
      </c>
      <c r="G136" s="18" t="s">
        <v>242</v>
      </c>
    </row>
    <row r="137" spans="1:7" ht="42">
      <c r="A137" s="18" t="s">
        <v>243</v>
      </c>
      <c r="B137" s="18" t="s">
        <v>235</v>
      </c>
      <c r="C137" s="18" t="s">
        <v>385</v>
      </c>
      <c r="D137" s="19">
        <v>3</v>
      </c>
      <c r="E137" s="20" t="s">
        <v>819</v>
      </c>
      <c r="F137" s="18" t="s">
        <v>848</v>
      </c>
      <c r="G137" s="18" t="s">
        <v>244</v>
      </c>
    </row>
    <row r="138" spans="1:7" ht="56">
      <c r="A138" s="18" t="s">
        <v>563</v>
      </c>
      <c r="B138" s="18" t="s">
        <v>235</v>
      </c>
      <c r="C138" s="18" t="s">
        <v>386</v>
      </c>
      <c r="D138" s="19">
        <v>2.5</v>
      </c>
      <c r="E138" s="20" t="s">
        <v>820</v>
      </c>
      <c r="F138" s="18" t="s">
        <v>848</v>
      </c>
      <c r="G138" s="18" t="s">
        <v>507</v>
      </c>
    </row>
    <row r="139" spans="1:7" ht="56">
      <c r="A139" s="18" t="s">
        <v>564</v>
      </c>
      <c r="B139" s="18" t="s">
        <v>235</v>
      </c>
      <c r="C139" s="18" t="s">
        <v>387</v>
      </c>
      <c r="D139" s="19">
        <v>1.5</v>
      </c>
      <c r="E139" s="20" t="s">
        <v>821</v>
      </c>
      <c r="F139" s="18" t="s">
        <v>848</v>
      </c>
      <c r="G139" s="18" t="s">
        <v>508</v>
      </c>
    </row>
    <row r="140" spans="1:7" ht="56">
      <c r="A140" s="18" t="s">
        <v>565</v>
      </c>
      <c r="B140" s="18" t="s">
        <v>235</v>
      </c>
      <c r="C140" s="18" t="s">
        <v>388</v>
      </c>
      <c r="D140" s="19">
        <v>2.5</v>
      </c>
      <c r="E140" s="20" t="s">
        <v>822</v>
      </c>
      <c r="F140" s="18" t="s">
        <v>848</v>
      </c>
      <c r="G140" s="18" t="s">
        <v>509</v>
      </c>
    </row>
    <row r="141" spans="1:7" ht="42">
      <c r="A141" s="18" t="s">
        <v>245</v>
      </c>
      <c r="B141" s="18" t="s">
        <v>246</v>
      </c>
      <c r="C141" s="18" t="s">
        <v>389</v>
      </c>
      <c r="D141" s="19">
        <v>2</v>
      </c>
      <c r="E141" s="20" t="s">
        <v>823</v>
      </c>
      <c r="F141" s="18" t="s">
        <v>849</v>
      </c>
      <c r="G141" s="18" t="s">
        <v>247</v>
      </c>
    </row>
    <row r="142" spans="1:7" ht="42">
      <c r="A142" s="18" t="s">
        <v>248</v>
      </c>
      <c r="B142" s="18" t="s">
        <v>246</v>
      </c>
      <c r="C142" s="18" t="s">
        <v>17</v>
      </c>
      <c r="D142" s="19">
        <v>1.5</v>
      </c>
      <c r="E142" s="20" t="s">
        <v>824</v>
      </c>
      <c r="F142" s="18" t="s">
        <v>849</v>
      </c>
      <c r="G142" s="18" t="s">
        <v>577</v>
      </c>
    </row>
    <row r="143" spans="1:7" ht="42">
      <c r="A143" s="18" t="s">
        <v>249</v>
      </c>
      <c r="B143" s="18" t="s">
        <v>246</v>
      </c>
      <c r="C143" s="18" t="s">
        <v>390</v>
      </c>
      <c r="D143" s="19">
        <v>2</v>
      </c>
      <c r="E143" s="20" t="s">
        <v>825</v>
      </c>
      <c r="F143" s="18" t="s">
        <v>849</v>
      </c>
      <c r="G143" s="18" t="s">
        <v>250</v>
      </c>
    </row>
    <row r="144" spans="1:7" ht="84">
      <c r="A144" s="18" t="s">
        <v>251</v>
      </c>
      <c r="B144" s="18" t="s">
        <v>246</v>
      </c>
      <c r="C144" s="18" t="s">
        <v>253</v>
      </c>
      <c r="D144" s="19">
        <v>2</v>
      </c>
      <c r="E144" s="20" t="s">
        <v>252</v>
      </c>
      <c r="F144" s="18" t="s">
        <v>849</v>
      </c>
      <c r="G144" s="18" t="s">
        <v>254</v>
      </c>
    </row>
    <row r="145" spans="1:7" ht="70">
      <c r="A145" s="18" t="s">
        <v>255</v>
      </c>
      <c r="B145" s="18" t="s">
        <v>246</v>
      </c>
      <c r="C145" s="18" t="s">
        <v>253</v>
      </c>
      <c r="D145" s="19">
        <v>1</v>
      </c>
      <c r="E145" s="20" t="s">
        <v>826</v>
      </c>
      <c r="F145" s="18" t="s">
        <v>849</v>
      </c>
      <c r="G145" s="18" t="s">
        <v>254</v>
      </c>
    </row>
    <row r="146" spans="1:7" ht="70">
      <c r="A146" s="18" t="s">
        <v>256</v>
      </c>
      <c r="B146" s="18" t="s">
        <v>246</v>
      </c>
      <c r="C146" s="18" t="s">
        <v>391</v>
      </c>
      <c r="D146" s="19">
        <v>2</v>
      </c>
      <c r="E146" s="20" t="s">
        <v>257</v>
      </c>
      <c r="F146" s="18" t="s">
        <v>849</v>
      </c>
      <c r="G146" s="18" t="s">
        <v>258</v>
      </c>
    </row>
    <row r="147" spans="1:7" ht="70">
      <c r="A147" s="18" t="s">
        <v>259</v>
      </c>
      <c r="B147" s="18" t="s">
        <v>246</v>
      </c>
      <c r="C147" s="18" t="s">
        <v>392</v>
      </c>
      <c r="D147" s="19">
        <v>2</v>
      </c>
      <c r="E147" s="20" t="s">
        <v>260</v>
      </c>
      <c r="F147" s="18" t="s">
        <v>849</v>
      </c>
      <c r="G147" s="18" t="s">
        <v>261</v>
      </c>
    </row>
    <row r="148" spans="1:7" ht="98">
      <c r="A148" s="18" t="s">
        <v>262</v>
      </c>
      <c r="B148" s="18" t="s">
        <v>246</v>
      </c>
      <c r="C148" s="18" t="s">
        <v>393</v>
      </c>
      <c r="D148" s="19">
        <v>2</v>
      </c>
      <c r="E148" s="20" t="s">
        <v>827</v>
      </c>
      <c r="F148" s="18" t="s">
        <v>849</v>
      </c>
      <c r="G148" s="18" t="s">
        <v>263</v>
      </c>
    </row>
    <row r="149" spans="1:7" ht="28">
      <c r="A149" s="18" t="s">
        <v>264</v>
      </c>
      <c r="B149" s="18" t="s">
        <v>246</v>
      </c>
      <c r="C149" s="18" t="s">
        <v>394</v>
      </c>
      <c r="D149" s="19">
        <v>1.5</v>
      </c>
      <c r="E149" s="20" t="s">
        <v>828</v>
      </c>
      <c r="F149" s="18" t="s">
        <v>849</v>
      </c>
      <c r="G149" s="18" t="s">
        <v>265</v>
      </c>
    </row>
    <row r="150" spans="1:7" ht="84">
      <c r="A150" s="18" t="s">
        <v>266</v>
      </c>
      <c r="B150" s="18" t="s">
        <v>246</v>
      </c>
      <c r="C150" s="18" t="s">
        <v>267</v>
      </c>
      <c r="D150" s="19">
        <v>2</v>
      </c>
      <c r="E150" s="20" t="s">
        <v>829</v>
      </c>
      <c r="F150" s="18" t="s">
        <v>849</v>
      </c>
      <c r="G150" s="18" t="s">
        <v>268</v>
      </c>
    </row>
    <row r="151" spans="1:7" ht="70">
      <c r="A151" s="18" t="s">
        <v>566</v>
      </c>
      <c r="B151" s="18" t="s">
        <v>246</v>
      </c>
      <c r="C151" s="18" t="s">
        <v>395</v>
      </c>
      <c r="D151" s="19">
        <v>2</v>
      </c>
      <c r="E151" s="20" t="s">
        <v>830</v>
      </c>
      <c r="F151" s="18" t="s">
        <v>849</v>
      </c>
      <c r="G151" s="18" t="s">
        <v>510</v>
      </c>
    </row>
    <row r="152" spans="1:7" ht="42">
      <c r="A152" s="18" t="s">
        <v>269</v>
      </c>
      <c r="B152" s="18" t="s">
        <v>270</v>
      </c>
      <c r="C152" s="18" t="s">
        <v>396</v>
      </c>
      <c r="D152" s="19">
        <v>2</v>
      </c>
      <c r="E152" s="20" t="s">
        <v>831</v>
      </c>
      <c r="F152" s="18" t="s">
        <v>850</v>
      </c>
      <c r="G152" s="18" t="s">
        <v>271</v>
      </c>
    </row>
    <row r="153" spans="1:7" ht="56">
      <c r="A153" s="18" t="s">
        <v>272</v>
      </c>
      <c r="B153" s="18" t="s">
        <v>270</v>
      </c>
      <c r="C153" s="18" t="s">
        <v>397</v>
      </c>
      <c r="D153" s="19">
        <v>3</v>
      </c>
      <c r="E153" s="20" t="s">
        <v>832</v>
      </c>
      <c r="F153" s="18" t="s">
        <v>850</v>
      </c>
      <c r="G153" s="18" t="s">
        <v>273</v>
      </c>
    </row>
    <row r="154" spans="1:7" ht="56">
      <c r="A154" s="18" t="s">
        <v>274</v>
      </c>
      <c r="B154" s="18" t="s">
        <v>270</v>
      </c>
      <c r="C154" s="18" t="s">
        <v>398</v>
      </c>
      <c r="D154" s="19">
        <v>3</v>
      </c>
      <c r="E154" s="20" t="s">
        <v>833</v>
      </c>
      <c r="F154" s="18" t="s">
        <v>850</v>
      </c>
      <c r="G154" s="18" t="s">
        <v>275</v>
      </c>
    </row>
    <row r="155" spans="1:7" ht="70">
      <c r="A155" s="18" t="s">
        <v>276</v>
      </c>
      <c r="B155" s="18" t="s">
        <v>270</v>
      </c>
      <c r="C155" s="18" t="s">
        <v>277</v>
      </c>
      <c r="D155" s="19">
        <v>3</v>
      </c>
      <c r="E155" s="20" t="s">
        <v>834</v>
      </c>
      <c r="F155" s="18" t="s">
        <v>850</v>
      </c>
      <c r="G155" s="18" t="s">
        <v>278</v>
      </c>
    </row>
    <row r="156" spans="1:7" ht="42">
      <c r="A156" s="18" t="s">
        <v>279</v>
      </c>
      <c r="B156" s="18" t="s">
        <v>270</v>
      </c>
      <c r="C156" s="18" t="s">
        <v>399</v>
      </c>
      <c r="D156" s="19">
        <v>3</v>
      </c>
      <c r="E156" s="20" t="s">
        <v>835</v>
      </c>
      <c r="F156" s="18" t="s">
        <v>850</v>
      </c>
      <c r="G156" s="18" t="s">
        <v>281</v>
      </c>
    </row>
    <row r="157" spans="1:7" ht="56">
      <c r="A157" s="18" t="s">
        <v>282</v>
      </c>
      <c r="B157" s="18" t="s">
        <v>270</v>
      </c>
      <c r="C157" s="18" t="s">
        <v>365</v>
      </c>
      <c r="D157" s="19">
        <v>3</v>
      </c>
      <c r="E157" s="20" t="s">
        <v>836</v>
      </c>
      <c r="F157" s="18" t="s">
        <v>850</v>
      </c>
      <c r="G157" s="18" t="s">
        <v>578</v>
      </c>
    </row>
    <row r="158" spans="1:7" ht="84">
      <c r="A158" s="18" t="s">
        <v>567</v>
      </c>
      <c r="B158" s="18" t="s">
        <v>270</v>
      </c>
      <c r="C158" s="18" t="s">
        <v>400</v>
      </c>
      <c r="D158" s="19">
        <v>3</v>
      </c>
      <c r="E158" s="20" t="s">
        <v>837</v>
      </c>
      <c r="F158" s="18" t="s">
        <v>850</v>
      </c>
      <c r="G158" s="18" t="s">
        <v>511</v>
      </c>
    </row>
    <row r="159" spans="1:7" ht="42">
      <c r="A159" s="18" t="s">
        <v>283</v>
      </c>
      <c r="B159" s="18" t="s">
        <v>284</v>
      </c>
      <c r="C159" s="18" t="s">
        <v>859</v>
      </c>
      <c r="D159" s="19">
        <v>3</v>
      </c>
      <c r="E159" s="20" t="s">
        <v>838</v>
      </c>
      <c r="F159" s="18" t="s">
        <v>851</v>
      </c>
      <c r="G159" s="18" t="s">
        <v>285</v>
      </c>
    </row>
    <row r="160" spans="1:7" ht="42">
      <c r="A160" s="18" t="s">
        <v>286</v>
      </c>
      <c r="B160" s="18" t="s">
        <v>284</v>
      </c>
      <c r="C160" s="18" t="s">
        <v>401</v>
      </c>
      <c r="D160" s="19">
        <v>3</v>
      </c>
      <c r="E160" s="20" t="s">
        <v>839</v>
      </c>
      <c r="F160" s="18" t="s">
        <v>851</v>
      </c>
      <c r="G160" s="18" t="s">
        <v>287</v>
      </c>
    </row>
    <row r="161" spans="1:7" ht="70">
      <c r="A161" s="18" t="s">
        <v>288</v>
      </c>
      <c r="B161" s="18" t="s">
        <v>284</v>
      </c>
      <c r="C161" s="18" t="s">
        <v>328</v>
      </c>
      <c r="D161" s="19">
        <v>2</v>
      </c>
      <c r="E161" s="20" t="s">
        <v>840</v>
      </c>
      <c r="F161" s="18" t="s">
        <v>851</v>
      </c>
      <c r="G161" s="18" t="s">
        <v>579</v>
      </c>
    </row>
    <row r="162" spans="1:7" ht="70">
      <c r="A162" s="18" t="s">
        <v>289</v>
      </c>
      <c r="B162" s="18" t="s">
        <v>284</v>
      </c>
      <c r="C162" s="18" t="s">
        <v>402</v>
      </c>
      <c r="D162" s="19">
        <v>3</v>
      </c>
      <c r="E162" s="20" t="s">
        <v>841</v>
      </c>
      <c r="F162" s="18" t="s">
        <v>851</v>
      </c>
      <c r="G162" s="18" t="s">
        <v>290</v>
      </c>
    </row>
    <row r="163" spans="1:7" ht="70">
      <c r="A163" s="18" t="s">
        <v>291</v>
      </c>
      <c r="B163" s="18" t="s">
        <v>284</v>
      </c>
      <c r="C163" s="18" t="s">
        <v>403</v>
      </c>
      <c r="D163" s="19">
        <v>3</v>
      </c>
      <c r="E163" s="20" t="s">
        <v>842</v>
      </c>
      <c r="F163" s="18" t="s">
        <v>851</v>
      </c>
      <c r="G163" s="18" t="s">
        <v>292</v>
      </c>
    </row>
    <row r="164" spans="1:7" ht="70">
      <c r="A164" s="18" t="s">
        <v>293</v>
      </c>
      <c r="B164" s="18" t="s">
        <v>284</v>
      </c>
      <c r="C164" s="18" t="s">
        <v>403</v>
      </c>
      <c r="D164" s="19">
        <v>3</v>
      </c>
      <c r="E164" s="20" t="s">
        <v>843</v>
      </c>
      <c r="F164" s="18" t="s">
        <v>851</v>
      </c>
      <c r="G164" s="18" t="s">
        <v>292</v>
      </c>
    </row>
    <row r="165" spans="1:7" ht="42">
      <c r="A165" s="18" t="s">
        <v>294</v>
      </c>
      <c r="B165" s="18" t="s">
        <v>284</v>
      </c>
      <c r="C165" s="18" t="s">
        <v>19</v>
      </c>
      <c r="D165" s="19">
        <v>3</v>
      </c>
      <c r="E165" s="20" t="s">
        <v>844</v>
      </c>
      <c r="F165" s="18" t="s">
        <v>851</v>
      </c>
      <c r="G165" s="18" t="s">
        <v>580</v>
      </c>
    </row>
  </sheetData>
  <autoFilter ref="A1:G2" xr:uid="{00000000-0009-0000-0000-000000000000}"/>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ayfa3"/>
  <dimension ref="A1:AA165"/>
  <sheetViews>
    <sheetView topLeftCell="A137" workbookViewId="0">
      <selection activeCell="B165" sqref="B165"/>
    </sheetView>
  </sheetViews>
  <sheetFormatPr baseColWidth="10" defaultColWidth="8.83203125" defaultRowHeight="15"/>
  <cols>
    <col min="1" max="1" width="6.5" customWidth="1"/>
    <col min="2" max="2" width="7.83203125" customWidth="1"/>
    <col min="3" max="3" width="9" customWidth="1"/>
    <col min="4" max="4" width="20.5" bestFit="1" customWidth="1"/>
    <col min="6" max="6" width="33.1640625" bestFit="1" customWidth="1"/>
    <col min="7" max="7" width="13" customWidth="1"/>
    <col min="8" max="8" width="10.83203125" customWidth="1"/>
    <col min="9" max="9" width="17.1640625" customWidth="1"/>
    <col min="10" max="10" width="17.6640625" customWidth="1"/>
    <col min="11" max="11" width="15.5" customWidth="1"/>
    <col min="12" max="14" width="21.5" customWidth="1"/>
    <col min="17" max="17" width="10.1640625" customWidth="1"/>
    <col min="18" max="18" width="9" customWidth="1"/>
    <col min="20" max="20" width="16.1640625" customWidth="1"/>
    <col min="21" max="21" width="19.6640625" customWidth="1"/>
    <col min="22" max="22" width="19.33203125" customWidth="1"/>
    <col min="24" max="24" width="10.1640625" customWidth="1"/>
    <col min="25" max="25" width="15" customWidth="1"/>
  </cols>
  <sheetData>
    <row r="1" spans="1:27">
      <c r="A1" t="s">
        <v>0</v>
      </c>
      <c r="B1" t="s">
        <v>1</v>
      </c>
      <c r="C1" t="s">
        <v>2</v>
      </c>
      <c r="D1" t="s">
        <v>3</v>
      </c>
      <c r="F1" t="s">
        <v>404</v>
      </c>
      <c r="G1" t="s">
        <v>405</v>
      </c>
      <c r="H1" t="s">
        <v>406</v>
      </c>
      <c r="I1" t="s">
        <v>407</v>
      </c>
      <c r="J1" t="s">
        <v>429</v>
      </c>
      <c r="K1" t="s">
        <v>408</v>
      </c>
      <c r="L1" t="s">
        <v>409</v>
      </c>
      <c r="M1" t="s">
        <v>410</v>
      </c>
      <c r="N1" t="s">
        <v>411</v>
      </c>
      <c r="O1" t="s">
        <v>412</v>
      </c>
      <c r="Q1" t="s">
        <v>10</v>
      </c>
      <c r="R1" t="s">
        <v>2</v>
      </c>
      <c r="T1" t="s">
        <v>452</v>
      </c>
      <c r="U1" t="s">
        <v>453</v>
      </c>
      <c r="V1" t="s">
        <v>454</v>
      </c>
      <c r="X1" t="s">
        <v>10</v>
      </c>
      <c r="Y1" t="s">
        <v>457</v>
      </c>
      <c r="AA1" t="s">
        <v>459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N27"/>
  <sheetViews>
    <sheetView tabSelected="1" zoomScale="60" zoomScaleNormal="60" workbookViewId="0">
      <selection activeCell="S9" sqref="S9"/>
    </sheetView>
  </sheetViews>
  <sheetFormatPr baseColWidth="10" defaultColWidth="8.83203125" defaultRowHeight="15"/>
  <cols>
    <col min="2" max="6" width="12.83203125" customWidth="1"/>
    <col min="7" max="7" width="2.83203125" customWidth="1"/>
    <col min="8" max="14" width="12.83203125" customWidth="1"/>
  </cols>
  <sheetData>
    <row r="2" spans="2:14" ht="23.25" customHeight="1">
      <c r="B2" s="45"/>
      <c r="C2" s="45"/>
      <c r="D2" s="45"/>
      <c r="E2" s="45"/>
      <c r="F2" s="45"/>
      <c r="G2" s="45"/>
      <c r="H2" s="45"/>
      <c r="I2" s="45"/>
      <c r="J2" s="45"/>
      <c r="K2" s="45"/>
      <c r="L2" s="45"/>
      <c r="M2" s="45"/>
      <c r="N2" s="45"/>
    </row>
    <row r="3" spans="2:14" ht="23.25" customHeight="1">
      <c r="B3" s="45"/>
      <c r="C3" s="45"/>
      <c r="D3" s="45"/>
      <c r="E3" s="45"/>
      <c r="F3" s="45"/>
      <c r="G3" s="45"/>
      <c r="H3" s="45"/>
      <c r="I3" s="45"/>
      <c r="J3" s="45"/>
      <c r="K3" s="45"/>
      <c r="L3" s="45"/>
      <c r="M3" s="45"/>
      <c r="N3" s="45"/>
    </row>
    <row r="4" spans="2:14" ht="23.25" customHeight="1">
      <c r="B4" s="45"/>
      <c r="C4" s="45"/>
      <c r="D4" s="45"/>
      <c r="E4" s="45"/>
      <c r="F4" s="45"/>
      <c r="G4" s="45"/>
      <c r="H4" s="45"/>
      <c r="I4" s="45"/>
      <c r="J4" s="45"/>
      <c r="K4" s="45"/>
      <c r="L4" s="45"/>
      <c r="M4" s="45"/>
      <c r="N4" s="45"/>
    </row>
    <row r="5" spans="2:14" ht="23.25" customHeight="1">
      <c r="B5" s="45"/>
      <c r="C5" s="45"/>
      <c r="D5" s="45"/>
      <c r="E5" s="45"/>
      <c r="F5" s="45"/>
      <c r="G5" s="45"/>
      <c r="H5" s="45"/>
      <c r="I5" s="45"/>
      <c r="J5" s="45"/>
      <c r="K5" s="45"/>
      <c r="L5" s="45"/>
      <c r="M5" s="45"/>
      <c r="N5" s="45"/>
    </row>
    <row r="6" spans="2:14" ht="23.25" customHeight="1">
      <c r="B6" s="45"/>
      <c r="C6" s="45"/>
      <c r="D6" s="45"/>
      <c r="E6" s="45"/>
      <c r="F6" s="45"/>
      <c r="G6" s="45"/>
      <c r="H6" s="45"/>
      <c r="I6" s="45"/>
      <c r="J6" s="45"/>
      <c r="K6" s="45"/>
      <c r="L6" s="45"/>
      <c r="M6" s="45"/>
      <c r="N6" s="45"/>
    </row>
    <row r="7" spans="2:14" ht="23.25" customHeight="1">
      <c r="B7" s="45"/>
      <c r="C7" s="45"/>
      <c r="D7" s="45"/>
      <c r="E7" s="45"/>
      <c r="F7" s="45"/>
      <c r="G7" s="45"/>
      <c r="H7" s="45"/>
      <c r="I7" s="45"/>
      <c r="J7" s="45"/>
      <c r="K7" s="45"/>
      <c r="L7" s="45"/>
      <c r="M7" s="45"/>
      <c r="N7" s="45"/>
    </row>
    <row r="8" spans="2:14" ht="23.25" customHeight="1">
      <c r="B8" s="45"/>
      <c r="C8" s="45"/>
      <c r="D8" s="45"/>
      <c r="E8" s="45"/>
      <c r="F8" s="45"/>
      <c r="G8" s="45"/>
      <c r="H8" s="45"/>
      <c r="I8" s="45"/>
      <c r="J8" s="45"/>
      <c r="K8" s="45"/>
      <c r="L8" s="45"/>
      <c r="M8" s="45"/>
      <c r="N8" s="45"/>
    </row>
    <row r="9" spans="2:14" ht="23.25" customHeight="1">
      <c r="B9" s="45"/>
      <c r="C9" s="45"/>
      <c r="D9" s="45"/>
      <c r="E9" s="45"/>
      <c r="F9" s="45"/>
      <c r="G9" s="45"/>
      <c r="H9" s="45"/>
      <c r="I9" s="45"/>
      <c r="J9" s="45"/>
      <c r="K9" s="45"/>
      <c r="L9" s="45"/>
      <c r="M9" s="45"/>
      <c r="N9" s="45"/>
    </row>
    <row r="10" spans="2:14" ht="23.25" customHeight="1">
      <c r="B10" s="45"/>
      <c r="C10" s="45"/>
      <c r="D10" s="45"/>
      <c r="E10" s="45"/>
      <c r="F10" s="45"/>
      <c r="G10" s="45"/>
      <c r="H10" s="45"/>
      <c r="I10" s="45"/>
      <c r="J10" s="45"/>
      <c r="K10" s="45"/>
      <c r="L10" s="45"/>
      <c r="M10" s="45"/>
      <c r="N10" s="45"/>
    </row>
    <row r="11" spans="2:14" ht="23.25" customHeight="1">
      <c r="B11" s="45"/>
      <c r="C11" s="45"/>
      <c r="D11" s="45"/>
      <c r="E11" s="45"/>
      <c r="F11" s="45"/>
      <c r="G11" s="45"/>
      <c r="H11" s="45"/>
      <c r="I11" s="45"/>
      <c r="J11" s="45"/>
      <c r="K11" s="45"/>
      <c r="L11" s="45"/>
      <c r="M11" s="45"/>
      <c r="N11" s="45"/>
    </row>
    <row r="12" spans="2:14" ht="23.25" customHeight="1">
      <c r="B12" s="45"/>
      <c r="C12" s="45"/>
      <c r="D12" s="45"/>
      <c r="E12" s="45"/>
      <c r="F12" s="45"/>
      <c r="G12" s="45"/>
      <c r="H12" s="45"/>
      <c r="I12" s="45"/>
      <c r="J12" s="45"/>
      <c r="K12" s="45"/>
      <c r="L12" s="45"/>
      <c r="M12" s="45"/>
      <c r="N12" s="45"/>
    </row>
    <row r="13" spans="2:14" ht="23.25" customHeight="1">
      <c r="B13" s="45"/>
      <c r="C13" s="45"/>
      <c r="D13" s="45"/>
      <c r="E13" s="45"/>
      <c r="F13" s="45"/>
      <c r="G13" s="45"/>
      <c r="H13" s="45"/>
      <c r="I13" s="45"/>
      <c r="J13" s="45"/>
      <c r="K13" s="45"/>
      <c r="L13" s="45"/>
      <c r="M13" s="45"/>
      <c r="N13" s="45"/>
    </row>
    <row r="14" spans="2:14" ht="23.25" customHeight="1">
      <c r="B14" s="45"/>
      <c r="C14" s="45"/>
      <c r="D14" s="45"/>
      <c r="E14" s="45"/>
      <c r="F14" s="45"/>
      <c r="G14" s="45"/>
      <c r="H14" s="45"/>
      <c r="I14" s="45"/>
      <c r="J14" s="45"/>
      <c r="K14" s="45"/>
      <c r="L14" s="45"/>
      <c r="M14" s="45"/>
      <c r="N14" s="45"/>
    </row>
    <row r="15" spans="2:14" ht="23.25" customHeight="1">
      <c r="B15" s="45"/>
      <c r="C15" s="45"/>
      <c r="D15" s="45"/>
      <c r="E15" s="45"/>
      <c r="F15" s="45"/>
      <c r="G15" s="45"/>
      <c r="H15" s="45"/>
      <c r="I15" s="45"/>
      <c r="J15" s="45"/>
      <c r="K15" s="45"/>
      <c r="L15" s="45"/>
      <c r="M15" s="45"/>
      <c r="N15" s="45"/>
    </row>
    <row r="16" spans="2:14" ht="23.25" customHeight="1">
      <c r="B16" s="45"/>
      <c r="C16" s="45"/>
      <c r="D16" s="45"/>
      <c r="E16" s="45"/>
      <c r="F16" s="45"/>
      <c r="G16" s="45"/>
      <c r="H16" s="45"/>
      <c r="I16" s="45"/>
      <c r="J16" s="45"/>
      <c r="K16" s="45"/>
      <c r="L16" s="45"/>
      <c r="M16" s="45"/>
      <c r="N16" s="45"/>
    </row>
    <row r="17" spans="2:14" ht="23.25" customHeight="1">
      <c r="B17" s="45"/>
      <c r="C17" s="45"/>
      <c r="D17" s="45"/>
      <c r="E17" s="45"/>
      <c r="F17" s="45"/>
      <c r="G17" s="24"/>
      <c r="H17" s="133" t="s">
        <v>413</v>
      </c>
      <c r="I17" s="133"/>
      <c r="J17" s="133"/>
      <c r="K17" s="133"/>
      <c r="L17" s="133"/>
      <c r="M17" s="133"/>
      <c r="N17" s="133"/>
    </row>
    <row r="18" spans="2:14" ht="23.25" customHeight="1">
      <c r="B18" s="45"/>
      <c r="C18" s="45"/>
      <c r="D18" s="45"/>
      <c r="E18" s="45"/>
      <c r="F18" s="45"/>
      <c r="G18" s="24"/>
      <c r="H18" s="133"/>
      <c r="I18" s="133"/>
      <c r="J18" s="133"/>
      <c r="K18" s="133"/>
      <c r="L18" s="133"/>
      <c r="M18" s="133"/>
      <c r="N18" s="133"/>
    </row>
    <row r="19" spans="2:14" ht="23.25" customHeight="1">
      <c r="B19" s="45"/>
      <c r="C19" s="45"/>
      <c r="D19" s="45"/>
      <c r="E19" s="45"/>
      <c r="F19" s="45"/>
      <c r="G19" s="46"/>
      <c r="H19" s="47"/>
      <c r="I19" s="47"/>
      <c r="J19" s="47"/>
      <c r="K19" s="47"/>
      <c r="L19" s="47"/>
      <c r="M19" s="47"/>
      <c r="N19" s="47"/>
    </row>
    <row r="20" spans="2:14" ht="23.25" customHeight="1">
      <c r="B20" s="45"/>
      <c r="C20" s="45"/>
      <c r="D20" s="45"/>
      <c r="E20" s="45"/>
      <c r="F20" s="45"/>
      <c r="G20" s="46"/>
      <c r="H20" s="134" t="str">
        <f>DenetlemeBilgileri[Firma Adı]</f>
      </c>
      <c r="I20" s="30"/>
      <c r="J20" s="30"/>
      <c r="K20" s="30"/>
      <c r="L20" s="30"/>
      <c r="M20" s="30"/>
      <c r="N20" s="31"/>
    </row>
    <row r="21" spans="2:14" ht="23.25" customHeight="1">
      <c r="B21" s="45"/>
      <c r="C21" s="45"/>
      <c r="D21" s="45"/>
      <c r="E21" s="45"/>
      <c r="F21" s="45"/>
      <c r="G21" s="46"/>
      <c r="H21" s="47"/>
      <c r="I21" s="47"/>
      <c r="J21" s="47"/>
      <c r="K21" s="47"/>
      <c r="L21" s="47"/>
      <c r="M21" s="47"/>
      <c r="N21" s="47"/>
    </row>
    <row r="22" spans="2:14" ht="23.25" customHeight="1">
      <c r="B22" s="45"/>
      <c r="C22" s="45"/>
      <c r="D22" s="45"/>
      <c r="E22" s="45"/>
      <c r="F22" s="45"/>
      <c r="G22" s="46"/>
      <c r="H22" s="47"/>
      <c r="I22" s="47"/>
      <c r="J22" s="47"/>
      <c r="K22" s="47"/>
      <c r="L22" s="47"/>
      <c r="M22" s="47"/>
      <c r="N22" s="47"/>
    </row>
    <row r="23" spans="2:14" ht="23.25" customHeight="1">
      <c r="B23" s="45"/>
      <c r="C23" s="45"/>
      <c r="D23" s="45"/>
      <c r="E23" s="45"/>
      <c r="F23" s="45"/>
      <c r="G23" s="46"/>
      <c r="H23" s="47"/>
      <c r="I23" s="47"/>
      <c r="J23" s="47"/>
      <c r="K23" s="47"/>
      <c r="L23" s="47"/>
      <c r="M23" s="47"/>
      <c r="N23" s="47"/>
    </row>
    <row r="24" spans="2:14" ht="23.25" customHeight="1">
      <c r="B24" s="45"/>
      <c r="C24" s="45"/>
      <c r="D24" s="45"/>
      <c r="E24" s="45"/>
      <c r="F24" s="45"/>
      <c r="G24" s="46"/>
      <c r="H24" s="135" t="s">
        <v>414</v>
      </c>
      <c r="I24" s="136"/>
      <c r="J24" s="137">
        <f>Veriler!G2</f>
      </c>
      <c r="K24" s="137"/>
      <c r="L24" s="137"/>
      <c r="M24" s="137"/>
      <c r="N24" s="137"/>
    </row>
    <row r="25" spans="2:14" ht="23.25" customHeight="1">
      <c r="B25" s="45"/>
      <c r="C25" s="45"/>
      <c r="D25" s="45"/>
      <c r="E25" s="45"/>
      <c r="F25" s="45"/>
      <c r="G25" s="46"/>
      <c r="H25" s="135" t="s">
        <v>415</v>
      </c>
      <c r="I25" s="136"/>
      <c r="J25" s="138">
        <f>Veriler!H2</f>
      </c>
      <c r="K25" s="138"/>
      <c r="L25" s="138"/>
      <c r="M25" s="138"/>
      <c r="N25" s="138"/>
    </row>
    <row r="26" spans="2:14" ht="23.25" customHeight="1">
      <c r="B26" s="45"/>
      <c r="C26" s="45"/>
      <c r="D26" s="45"/>
      <c r="E26" s="45"/>
      <c r="F26" s="45"/>
      <c r="G26" s="46"/>
      <c r="H26" s="45"/>
      <c r="I26" s="45"/>
      <c r="J26" s="45"/>
      <c r="K26" s="45"/>
      <c r="L26" s="45"/>
      <c r="M26" s="45"/>
      <c r="N26" s="45"/>
    </row>
    <row r="27" spans="2:14" ht="23.25" customHeight="1">
      <c r="B27" s="45"/>
      <c r="C27" s="45"/>
      <c r="D27" s="45"/>
      <c r="E27" s="45"/>
      <c r="F27" s="45"/>
      <c r="G27" s="46"/>
      <c r="H27" s="45"/>
      <c r="I27" s="45"/>
      <c r="J27" s="45"/>
      <c r="K27" s="45"/>
      <c r="L27" s="45"/>
      <c r="M27" s="45"/>
      <c r="N27" s="45"/>
    </row>
  </sheetData>
  <mergeCells count="9">
    <mergeCell ref="B2:N16"/>
    <mergeCell ref="B17:F27"/>
    <mergeCell ref="G19:G27"/>
    <mergeCell ref="H26:N27"/>
    <mergeCell ref="H21:N23"/>
    <mergeCell ref="H19:N19"/>
    <mergeCell ref="J25:N25"/>
    <mergeCell ref="J24:N24"/>
    <mergeCell ref="H17:N18"/>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M27"/>
  <sheetViews>
    <sheetView zoomScale="60" zoomScaleNormal="60" workbookViewId="0">
      <selection activeCell="I3" sqref="I3:M4"/>
    </sheetView>
  </sheetViews>
  <sheetFormatPr baseColWidth="10" defaultColWidth="8.83203125" defaultRowHeight="15"/>
  <cols>
    <col min="2" max="6" width="12.83203125" customWidth="1"/>
    <col min="7" max="7" width="14.83203125" customWidth="1"/>
    <col min="8" max="13" width="12.83203125" customWidth="1"/>
  </cols>
  <sheetData>
    <row r="2" spans="4:13" ht="23.25" customHeight="1"/>
    <row r="3" spans="4:13" ht="23.25" customHeight="1">
      <c r="I3" s="93" t="s">
        <v>416</v>
      </c>
      <c r="J3" s="93"/>
      <c r="K3" s="93"/>
      <c r="L3" s="93"/>
      <c r="M3" s="93"/>
    </row>
    <row r="4" spans="4:13" ht="23.25" customHeight="1">
      <c r="I4" s="93"/>
      <c r="J4" s="93"/>
      <c r="K4" s="93"/>
      <c r="L4" s="93"/>
      <c r="M4" s="93"/>
    </row>
    <row r="5" spans="4:13" ht="23.25" customHeight="1"/>
    <row r="6" spans="4:13" ht="23.25" customHeight="1"/>
    <row r="7" spans="4:13" ht="23.25" customHeight="1"/>
    <row r="8" spans="4:13" ht="23.25" customHeight="1"/>
    <row r="9" spans="4:13" ht="23.25" customHeight="1"/>
    <row r="10" spans="4:13" ht="23.25" customHeight="1">
      <c r="D10" s="29" t="s">
        <v>418</v>
      </c>
    </row>
    <row r="11" spans="4:13" ht="23.25" customHeight="1"/>
    <row r="12" spans="4:13" ht="23.25" customHeight="1">
      <c r="D12" s="29" t="s">
        <v>419</v>
      </c>
    </row>
    <row r="13" spans="4:13" ht="23.25" customHeight="1"/>
    <row r="14" spans="4:13" ht="23.25" customHeight="1">
      <c r="D14" s="29" t="s">
        <v>420</v>
      </c>
    </row>
    <row r="15" spans="4:13" ht="23.25" customHeight="1"/>
    <row r="16" spans="4:13" ht="23.25" customHeight="1">
      <c r="D16" s="29" t="s">
        <v>422</v>
      </c>
    </row>
    <row r="17" spans="2:13" ht="23.25" customHeight="1">
      <c r="G17" s="28"/>
      <c r="H17" s="28"/>
      <c r="I17" s="28"/>
      <c r="J17" s="28"/>
      <c r="K17" s="28"/>
      <c r="L17" s="28"/>
      <c r="M17" s="28"/>
    </row>
    <row r="18" spans="2:13" ht="23.25" customHeight="1">
      <c r="D18" s="29" t="s">
        <v>421</v>
      </c>
      <c r="G18" s="28"/>
      <c r="H18" s="28"/>
      <c r="I18" s="28"/>
      <c r="J18" s="28"/>
      <c r="K18" s="28"/>
      <c r="L18" s="28"/>
      <c r="M18" s="28"/>
    </row>
    <row r="19" spans="2:13" ht="23.25" customHeight="1">
      <c r="G19" s="23"/>
      <c r="H19" s="23"/>
      <c r="I19" s="23"/>
      <c r="J19" s="23"/>
      <c r="K19" s="23"/>
      <c r="L19" s="23"/>
      <c r="M19" s="23"/>
    </row>
    <row r="20" spans="2:13" ht="23.25" customHeight="1">
      <c r="G20" s="26"/>
      <c r="H20" s="26"/>
      <c r="I20" s="26"/>
      <c r="J20" s="26"/>
      <c r="K20" s="26"/>
      <c r="L20" s="26"/>
      <c r="M20" s="23"/>
    </row>
    <row r="21" spans="2:13" ht="23.25" customHeight="1">
      <c r="G21" s="23"/>
      <c r="H21" s="23"/>
      <c r="I21" s="23"/>
      <c r="J21" s="23"/>
      <c r="K21" s="23"/>
      <c r="L21" s="23"/>
      <c r="M21" s="23"/>
    </row>
    <row r="22" spans="2:13" ht="23.25" customHeight="1">
      <c r="G22" s="23"/>
      <c r="H22" s="23"/>
      <c r="I22" s="23"/>
      <c r="J22" s="23"/>
      <c r="K22" s="23"/>
      <c r="L22" s="23"/>
      <c r="M22" s="23"/>
    </row>
    <row r="23" spans="2:13" ht="23.25" customHeight="1">
      <c r="G23" s="23"/>
      <c r="H23" s="23"/>
      <c r="I23" s="23"/>
      <c r="J23" s="23"/>
      <c r="K23" s="23"/>
      <c r="L23" s="23"/>
      <c r="M23" s="23"/>
    </row>
    <row r="24" spans="2:13" ht="23.25" customHeight="1">
      <c r="G24" s="27"/>
      <c r="H24" s="27"/>
      <c r="I24" s="25"/>
      <c r="J24" s="25"/>
      <c r="K24" s="25"/>
      <c r="L24" s="25"/>
      <c r="M24" s="25"/>
    </row>
    <row r="25" spans="2:13" ht="23.25" customHeight="1">
      <c r="G25" s="27"/>
      <c r="H25" s="27"/>
      <c r="I25" s="23"/>
      <c r="J25" s="23"/>
      <c r="K25" s="23"/>
      <c r="L25" s="23"/>
      <c r="M25" s="23"/>
    </row>
    <row r="26" spans="2:13" ht="23.25" customHeight="1"/>
    <row r="27" spans="2:13" ht="23.25" customHeight="1">
      <c r="B27" s="48" t="s">
        <v>417</v>
      </c>
      <c r="C27" s="48"/>
      <c r="D27" s="48"/>
      <c r="E27" s="48"/>
      <c r="F27" s="48"/>
      <c r="G27" s="48"/>
      <c r="H27" s="48"/>
      <c r="I27" s="48"/>
      <c r="J27" s="48"/>
      <c r="K27" s="48"/>
      <c r="L27" s="48"/>
      <c r="M27" s="48"/>
    </row>
  </sheetData>
  <mergeCells count="2">
    <mergeCell ref="I3:M4"/>
    <mergeCell ref="B27:M27"/>
  </mergeCells>
  <pageMargins left="0.23622047244094491" right="0.23622047244094491" top="0.23622047244094491" bottom="0.23622047244094491" header="0.31496062992125984" footer="0.31496062992125984"/>
  <pageSetup paperSize="9" scale="92"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N27"/>
  <sheetViews>
    <sheetView zoomScale="70" zoomScaleNormal="70" workbookViewId="0">
      <selection activeCell="C2" sqref="C2:N23"/>
    </sheetView>
  </sheetViews>
  <sheetFormatPr baseColWidth="10" defaultColWidth="8.83203125" defaultRowHeight="15"/>
  <cols>
    <col min="2" max="2" width="2.83203125" customWidth="1"/>
    <col min="3" max="14" width="12.83203125" customWidth="1"/>
  </cols>
  <sheetData>
    <row r="2" spans="2:14" ht="23.25" customHeight="1">
      <c r="B2" s="45"/>
      <c r="C2" s="95" t="s">
        <v>423</v>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M27"/>
  <sheetViews>
    <sheetView zoomScale="60" zoomScaleNormal="60" workbookViewId="0">
      <selection activeCell="I3" sqref="I3:M4"/>
    </sheetView>
  </sheetViews>
  <sheetFormatPr baseColWidth="10" defaultColWidth="8.83203125" defaultRowHeight="15"/>
  <cols>
    <col min="2" max="6" width="12.83203125" customWidth="1"/>
    <col min="7" max="7" width="14.83203125" customWidth="1"/>
    <col min="8" max="13" width="12.83203125" customWidth="1"/>
  </cols>
  <sheetData>
    <row r="2" spans="4:13" ht="23.25" customHeight="1"/>
    <row r="3" spans="4:13" ht="23.25" customHeight="1">
      <c r="I3" s="93" t="s">
        <v>423</v>
      </c>
      <c r="J3" s="93"/>
      <c r="K3" s="93"/>
      <c r="L3" s="93"/>
      <c r="M3" s="93"/>
    </row>
    <row r="4" spans="4:13" ht="23.25" customHeight="1">
      <c r="I4" s="93"/>
      <c r="J4" s="93"/>
      <c r="K4" s="93"/>
      <c r="L4" s="93"/>
      <c r="M4" s="93"/>
    </row>
    <row r="5" spans="4:13" ht="23.25" customHeight="1"/>
    <row r="6" spans="4:13" ht="23.25" customHeight="1">
      <c r="D6" s="96" t="s">
        <v>424</v>
      </c>
      <c r="E6" s="96"/>
      <c r="F6" s="96"/>
      <c r="G6" s="96"/>
      <c r="H6" s="96"/>
      <c r="I6" s="96"/>
      <c r="J6" s="96"/>
      <c r="K6" s="96"/>
    </row>
    <row r="7" spans="4:13" ht="23.25" customHeight="1">
      <c r="D7" s="96"/>
      <c r="E7" s="96"/>
      <c r="F7" s="96"/>
      <c r="G7" s="96"/>
      <c r="H7" s="96"/>
      <c r="I7" s="96"/>
      <c r="J7" s="96"/>
      <c r="K7" s="96"/>
    </row>
    <row r="8" spans="4:13" ht="23.25" customHeight="1"/>
    <row r="9" spans="4:13" ht="23.25" customHeight="1"/>
    <row r="10" spans="4:13" ht="23.25" customHeight="1">
      <c r="D10" s="97" t="s">
        <v>426</v>
      </c>
      <c r="E10" s="97"/>
      <c r="F10" s="97"/>
      <c r="G10" s="97"/>
      <c r="H10" s="97" t="s">
        <v>425</v>
      </c>
      <c r="I10" s="97"/>
      <c r="J10" s="97" t="s">
        <v>1</v>
      </c>
      <c r="K10" s="97"/>
    </row>
    <row r="11" spans="4:13" ht="23.25" customHeight="1">
      <c r="D11" s="101" t="s">
        <v>427</v>
      </c>
      <c r="E11" s="101"/>
      <c r="F11" s="101"/>
      <c r="G11" s="101"/>
      <c r="H11" s="98" t="s">
        <v>12</v>
      </c>
      <c r="I11" s="98"/>
      <c r="J11" s="98">
        <v>70</v>
      </c>
      <c r="K11" s="98"/>
    </row>
    <row r="12" spans="4:13" ht="23.25" customHeight="1">
      <c r="D12" s="101"/>
      <c r="E12" s="101"/>
      <c r="F12" s="101"/>
      <c r="G12" s="101"/>
      <c r="H12" s="98"/>
      <c r="I12" s="98"/>
      <c r="J12" s="98"/>
      <c r="K12" s="98"/>
    </row>
    <row r="13" spans="4:13" ht="23.25" customHeight="1">
      <c r="D13" s="101"/>
      <c r="E13" s="101"/>
      <c r="F13" s="101"/>
      <c r="G13" s="101"/>
      <c r="H13" s="98"/>
      <c r="I13" s="98"/>
      <c r="J13" s="98"/>
      <c r="K13" s="98"/>
    </row>
    <row r="14" spans="4:13" ht="23.25" customHeight="1">
      <c r="D14" s="101"/>
      <c r="E14" s="101"/>
      <c r="F14" s="101"/>
      <c r="G14" s="101"/>
      <c r="H14" s="98"/>
      <c r="I14" s="98"/>
      <c r="J14" s="98"/>
      <c r="K14" s="98"/>
    </row>
    <row r="15" spans="4:13" ht="23.25" customHeight="1">
      <c r="D15" s="101"/>
      <c r="E15" s="101"/>
      <c r="F15" s="101"/>
      <c r="G15" s="101"/>
      <c r="H15" s="98"/>
      <c r="I15" s="98"/>
      <c r="J15" s="98"/>
      <c r="K15" s="98"/>
    </row>
    <row r="16" spans="4:13" ht="23.25" customHeight="1">
      <c r="D16" s="101" t="s">
        <v>428</v>
      </c>
      <c r="E16" s="101"/>
      <c r="F16" s="101"/>
      <c r="G16" s="101"/>
      <c r="H16" s="98" t="s">
        <v>35</v>
      </c>
      <c r="I16" s="98"/>
      <c r="J16" s="98">
        <v>45</v>
      </c>
      <c r="K16" s="98"/>
    </row>
    <row r="17" spans="2:13" ht="23.25" customHeight="1">
      <c r="D17" s="101"/>
      <c r="E17" s="101"/>
      <c r="F17" s="101"/>
      <c r="G17" s="101"/>
      <c r="H17" s="98"/>
      <c r="I17" s="98"/>
      <c r="J17" s="98"/>
      <c r="K17" s="98"/>
      <c r="L17" s="28"/>
      <c r="M17" s="28"/>
    </row>
    <row r="18" spans="2:13" ht="23.25" customHeight="1">
      <c r="D18" s="101"/>
      <c r="E18" s="101"/>
      <c r="F18" s="101"/>
      <c r="G18" s="101"/>
      <c r="H18" s="98"/>
      <c r="I18" s="98"/>
      <c r="J18" s="98"/>
      <c r="K18" s="98"/>
      <c r="L18" s="28"/>
      <c r="M18" s="28"/>
    </row>
    <row r="19" spans="2:13" ht="23.25" customHeight="1">
      <c r="D19" s="101"/>
      <c r="E19" s="101"/>
      <c r="F19" s="101"/>
      <c r="G19" s="101"/>
      <c r="H19" s="98"/>
      <c r="I19" s="98"/>
      <c r="J19" s="98"/>
      <c r="K19" s="98"/>
      <c r="L19" s="23"/>
      <c r="M19" s="23"/>
    </row>
    <row r="20" spans="2:13" ht="23.25" customHeight="1">
      <c r="D20" s="101"/>
      <c r="E20" s="101"/>
      <c r="F20" s="101"/>
      <c r="G20" s="101"/>
      <c r="H20" s="98"/>
      <c r="I20" s="98"/>
      <c r="J20" s="98"/>
      <c r="K20" s="98"/>
      <c r="L20" s="26"/>
      <c r="M20" s="23"/>
    </row>
    <row r="21" spans="2:13" ht="23.25" customHeight="1">
      <c r="D21" s="99"/>
      <c r="E21" s="99"/>
      <c r="F21" s="99"/>
      <c r="G21" s="100"/>
      <c r="H21" s="100"/>
      <c r="I21" s="100"/>
      <c r="J21" s="100"/>
      <c r="K21" s="100"/>
      <c r="L21" s="23"/>
      <c r="M21" s="23"/>
    </row>
    <row r="22" spans="2:13" ht="23.25" customHeight="1">
      <c r="D22" s="102" t="str">
        <f>"HEDEF PUAN: " &amp; Veriler!J2</f>
      </c>
      <c r="E22" s="102"/>
      <c r="F22" s="102"/>
      <c r="G22" s="102"/>
      <c r="H22" s="102"/>
      <c r="I22" s="102"/>
      <c r="J22" s="102"/>
      <c r="K22" s="102"/>
      <c r="L22" s="23"/>
      <c r="M22" s="23"/>
    </row>
    <row r="23" spans="2:13" ht="23.25" customHeight="1">
      <c r="D23" s="102"/>
      <c r="E23" s="102"/>
      <c r="F23" s="102"/>
      <c r="G23" s="102"/>
      <c r="H23" s="102"/>
      <c r="I23" s="102"/>
      <c r="J23" s="102"/>
      <c r="K23" s="102"/>
      <c r="L23" s="23"/>
      <c r="M23" s="23"/>
    </row>
    <row r="24" spans="2:13" ht="23.25" customHeight="1">
      <c r="D24" s="102"/>
      <c r="E24" s="102"/>
      <c r="F24" s="102"/>
      <c r="G24" s="102"/>
      <c r="H24" s="102"/>
      <c r="I24" s="102"/>
      <c r="J24" s="102"/>
      <c r="K24" s="102"/>
      <c r="L24" s="25"/>
      <c r="M24" s="25"/>
    </row>
    <row r="25" spans="2:13" ht="23.25" customHeight="1">
      <c r="G25" s="27"/>
      <c r="H25" s="27"/>
      <c r="I25" s="23"/>
      <c r="J25" s="23"/>
      <c r="K25" s="23"/>
      <c r="L25" s="23"/>
      <c r="M25" s="23"/>
    </row>
    <row r="26" spans="2:13" ht="23.25" customHeight="1"/>
    <row r="27" spans="2:13" ht="23.25" customHeight="1">
      <c r="B27" s="48" t="s">
        <v>417</v>
      </c>
      <c r="C27" s="48"/>
      <c r="D27" s="48"/>
      <c r="E27" s="48"/>
      <c r="F27" s="48"/>
      <c r="G27" s="48"/>
      <c r="H27" s="48"/>
      <c r="I27" s="48"/>
      <c r="J27" s="48"/>
      <c r="K27" s="48"/>
      <c r="L27" s="48"/>
      <c r="M27" s="48"/>
    </row>
  </sheetData>
  <mergeCells count="13">
    <mergeCell ref="H16:I20"/>
    <mergeCell ref="J16:K20"/>
    <mergeCell ref="D22:K24"/>
    <mergeCell ref="I3:M4"/>
    <mergeCell ref="B27:M27"/>
    <mergeCell ref="D6:K7"/>
    <mergeCell ref="J10:K10"/>
    <mergeCell ref="H10:I10"/>
    <mergeCell ref="D10:G10"/>
    <mergeCell ref="D11:G15"/>
    <mergeCell ref="H11:I15"/>
    <mergeCell ref="J11:K15"/>
    <mergeCell ref="D16:G20"/>
  </mergeCells>
  <pageMargins left="0.23622047244094491" right="0.23622047244094491" top="0.23622047244094491" bottom="0.23622047244094491" header="0.31496062992125984" footer="0.31496062992125984"/>
  <pageSetup paperSize="9" scale="9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2:M28"/>
  <sheetViews>
    <sheetView zoomScale="60" zoomScaleNormal="60" workbookViewId="0">
      <selection activeCell="J18" sqref="J18:K19"/>
    </sheetView>
  </sheetViews>
  <sheetFormatPr baseColWidth="10" defaultColWidth="8.83203125" defaultRowHeight="15"/>
  <cols>
    <col min="2" max="6" width="12.83203125" customWidth="1"/>
    <col min="7" max="7" width="14.83203125" customWidth="1"/>
    <col min="8" max="8" width="12.83203125" customWidth="1"/>
    <col min="9" max="9" width="11.83203125" customWidth="1"/>
    <col min="10" max="10" width="13.83203125" customWidth="1"/>
    <col min="11" max="13" width="12.83203125" customWidth="1"/>
  </cols>
  <sheetData>
    <row r="2" spans="1:13" ht="23.25" customHeight="1"/>
    <row r="3" spans="1:13" ht="23.25" customHeight="1">
      <c r="I3" s="93" t="s">
        <v>423</v>
      </c>
      <c r="J3" s="93"/>
      <c r="K3" s="93"/>
      <c r="L3" s="93"/>
      <c r="M3" s="93"/>
    </row>
    <row r="4" spans="1:13" ht="23.25" customHeight="1">
      <c r="I4" s="93"/>
      <c r="J4" s="93"/>
      <c r="K4" s="93"/>
      <c r="L4" s="93"/>
      <c r="M4" s="93"/>
    </row>
    <row r="5" spans="1:13" ht="23.25" customHeight="1"/>
    <row r="6" spans="1:13" ht="23.25" customHeight="1">
      <c r="D6" s="104" t="s">
        <v>430</v>
      </c>
      <c r="E6" s="104"/>
      <c r="F6" s="104"/>
      <c r="G6" s="104"/>
      <c r="H6" s="104"/>
      <c r="I6" s="104"/>
      <c r="J6" s="104"/>
      <c r="K6" s="104"/>
    </row>
    <row r="7" spans="1:13" ht="23.25" customHeight="1">
      <c r="D7" s="104"/>
      <c r="E7" s="104"/>
      <c r="F7" s="104"/>
      <c r="G7" s="104"/>
      <c r="H7" s="104"/>
      <c r="I7" s="104"/>
      <c r="J7" s="104"/>
      <c r="K7" s="104"/>
    </row>
    <row r="8" spans="1:13" ht="23.25" customHeight="1"/>
    <row r="9" spans="1:13" ht="22.5" customHeight="1">
      <c r="D9" s="107" t="s">
        <v>431</v>
      </c>
      <c r="E9" s="107"/>
      <c r="F9" s="107"/>
      <c r="G9" s="107"/>
      <c r="I9" s="107" t="s">
        <v>432</v>
      </c>
      <c r="J9" s="107"/>
      <c r="K9" s="107"/>
    </row>
    <row r="10" spans="1:13" ht="22" customHeight="1">
      <c r="A10" t="s">
        <v>12</v>
      </c>
      <c r="D10" s="105">
        <v>1</v>
      </c>
      <c r="E10" s="106" t="str">
        <f>VLOOKUP(A10,'Soru Listesi'!B:F,5,0)</f>
      </c>
      <c r="F10" s="106"/>
      <c r="G10" s="106"/>
      <c r="H10" s="32"/>
      <c r="I10" s="108">
        <v>0</v>
      </c>
      <c r="J10" s="109" t="s">
        <v>433</v>
      </c>
      <c r="K10" s="109"/>
    </row>
    <row r="11" spans="1:13" ht="22" customHeight="1">
      <c r="A11" t="s">
        <v>35</v>
      </c>
      <c r="D11" s="105">
        <v>2</v>
      </c>
      <c r="E11" s="106" t="str">
        <f>VLOOKUP(A11,'Soru Listesi'!B:F,5,0)</f>
      </c>
      <c r="F11" s="106"/>
      <c r="G11" s="106"/>
      <c r="H11" s="35"/>
      <c r="I11" s="108"/>
      <c r="J11" s="109"/>
      <c r="K11" s="109"/>
    </row>
    <row r="12" spans="1:13" ht="22" customHeight="1">
      <c r="A12" t="s">
        <v>45</v>
      </c>
      <c r="D12" s="105">
        <v>3</v>
      </c>
      <c r="E12" s="106" t="str">
        <f>VLOOKUP(A12,'Soru Listesi'!B:F,5,0)</f>
      </c>
      <c r="F12" s="106"/>
      <c r="G12" s="106"/>
      <c r="H12" s="34"/>
      <c r="I12" s="108">
        <v>1</v>
      </c>
      <c r="J12" s="109" t="s">
        <v>438</v>
      </c>
      <c r="K12" s="109"/>
    </row>
    <row r="13" spans="1:13" ht="22" customHeight="1">
      <c r="A13" t="s">
        <v>59</v>
      </c>
      <c r="D13" s="105">
        <v>4</v>
      </c>
      <c r="E13" s="106" t="str">
        <f>VLOOKUP(A13,'Soru Listesi'!B:F,5,0)</f>
      </c>
      <c r="F13" s="106"/>
      <c r="G13" s="106"/>
      <c r="H13" s="34"/>
      <c r="I13" s="108"/>
      <c r="J13" s="109"/>
      <c r="K13" s="109"/>
    </row>
    <row r="14" spans="1:13" ht="22" customHeight="1">
      <c r="A14" t="s">
        <v>77</v>
      </c>
      <c r="D14" s="105">
        <v>5</v>
      </c>
      <c r="E14" s="106" t="str">
        <f>VLOOKUP(A14,'Soru Listesi'!B:F,5,0)</f>
      </c>
      <c r="F14" s="106"/>
      <c r="G14" s="106"/>
      <c r="H14" s="34"/>
      <c r="I14" s="108">
        <v>2</v>
      </c>
      <c r="J14" s="109" t="s">
        <v>434</v>
      </c>
      <c r="K14" s="109"/>
    </row>
    <row r="15" spans="1:13" ht="22" customHeight="1">
      <c r="A15" t="s">
        <v>86</v>
      </c>
      <c r="D15" s="105">
        <v>6</v>
      </c>
      <c r="E15" s="106" t="str">
        <f>VLOOKUP(A15,'Soru Listesi'!B:F,5,0)</f>
      </c>
      <c r="F15" s="106"/>
      <c r="G15" s="106"/>
      <c r="H15" s="34"/>
      <c r="I15" s="108"/>
      <c r="J15" s="109"/>
      <c r="K15" s="109"/>
    </row>
    <row r="16" spans="1:13" ht="22" customHeight="1">
      <c r="A16" t="s">
        <v>93</v>
      </c>
      <c r="D16" s="105">
        <v>7</v>
      </c>
      <c r="E16" s="106" t="str">
        <f>VLOOKUP(A16,'Soru Listesi'!B:F,5,0)</f>
      </c>
      <c r="F16" s="106"/>
      <c r="G16" s="106"/>
      <c r="H16" s="34"/>
      <c r="I16" s="108">
        <v>3</v>
      </c>
      <c r="J16" s="109" t="s">
        <v>435</v>
      </c>
      <c r="K16" s="109"/>
    </row>
    <row r="17" spans="1:13" ht="22" customHeight="1">
      <c r="A17" t="s">
        <v>112</v>
      </c>
      <c r="D17" s="105">
        <v>8</v>
      </c>
      <c r="E17" s="106" t="str">
        <f>VLOOKUP(A17,'Soru Listesi'!B:F,5,0)</f>
      </c>
      <c r="F17" s="106"/>
      <c r="G17" s="106"/>
      <c r="H17" s="34"/>
      <c r="I17" s="108"/>
      <c r="J17" s="109"/>
      <c r="K17" s="109"/>
    </row>
    <row r="18" spans="1:13" ht="22" customHeight="1">
      <c r="A18" t="s">
        <v>138</v>
      </c>
      <c r="D18" s="105">
        <v>9</v>
      </c>
      <c r="E18" s="106" t="str">
        <f>VLOOKUP(A18,'Soru Listesi'!B:F,5,0)</f>
      </c>
      <c r="F18" s="106"/>
      <c r="G18" s="106"/>
      <c r="H18" s="34"/>
      <c r="I18" s="108">
        <v>4</v>
      </c>
      <c r="J18" s="109" t="s">
        <v>436</v>
      </c>
      <c r="K18" s="109"/>
      <c r="L18" s="28"/>
      <c r="M18" s="28"/>
    </row>
    <row r="19" spans="1:13" ht="22" customHeight="1">
      <c r="A19" t="s">
        <v>153</v>
      </c>
      <c r="D19" s="105">
        <v>10</v>
      </c>
      <c r="E19" s="106" t="str">
        <f>VLOOKUP(A19,'Soru Listesi'!B:F,5,0)</f>
      </c>
      <c r="F19" s="106"/>
      <c r="G19" s="106"/>
      <c r="H19" s="34"/>
      <c r="I19" s="108"/>
      <c r="J19" s="109"/>
      <c r="K19" s="109"/>
      <c r="L19" s="28"/>
      <c r="M19" s="28"/>
    </row>
    <row r="20" spans="1:13" ht="22" customHeight="1">
      <c r="A20" t="s">
        <v>166</v>
      </c>
      <c r="D20" s="105">
        <v>11</v>
      </c>
      <c r="E20" s="106" t="str">
        <f>VLOOKUP(A20,'Soru Listesi'!B:F,5,0)</f>
      </c>
      <c r="F20" s="106"/>
      <c r="G20" s="106"/>
      <c r="H20" s="34"/>
      <c r="I20" s="108">
        <v>5</v>
      </c>
      <c r="J20" s="109" t="s">
        <v>437</v>
      </c>
      <c r="K20" s="109"/>
      <c r="L20" s="23"/>
      <c r="M20" s="23"/>
    </row>
    <row r="21" spans="1:13" ht="22" customHeight="1">
      <c r="A21" t="s">
        <v>186</v>
      </c>
      <c r="D21" s="105">
        <v>12</v>
      </c>
      <c r="E21" s="106" t="str">
        <f>VLOOKUP(A21,'Soru Listesi'!B:F,5,0)</f>
      </c>
      <c r="F21" s="106"/>
      <c r="G21" s="106"/>
      <c r="H21" s="34"/>
      <c r="I21" s="108"/>
      <c r="J21" s="109"/>
      <c r="K21" s="109"/>
      <c r="L21" s="26"/>
      <c r="M21" s="23"/>
    </row>
    <row r="22" spans="1:13" ht="22" customHeight="1">
      <c r="A22" t="s">
        <v>205</v>
      </c>
      <c r="D22" s="105">
        <v>13</v>
      </c>
      <c r="E22" s="106" t="str">
        <f>VLOOKUP(A22,'Soru Listesi'!B:F,5,0)</f>
      </c>
      <c r="F22" s="106"/>
      <c r="G22" s="106"/>
      <c r="H22" s="34"/>
      <c r="I22" s="34"/>
      <c r="J22" s="34"/>
      <c r="K22" s="34"/>
      <c r="L22" s="23"/>
      <c r="M22" s="23"/>
    </row>
    <row r="23" spans="1:13" ht="22" customHeight="1">
      <c r="A23" t="s">
        <v>220</v>
      </c>
      <c r="D23" s="105">
        <v>14</v>
      </c>
      <c r="E23" s="106" t="str">
        <f>VLOOKUP(A23,'Soru Listesi'!B:F,5,0)</f>
      </c>
      <c r="F23" s="106"/>
      <c r="G23" s="106"/>
      <c r="H23" s="36"/>
      <c r="I23" s="36"/>
      <c r="J23" s="36"/>
      <c r="K23" s="36"/>
      <c r="L23" s="23"/>
      <c r="M23" s="23"/>
    </row>
    <row r="24" spans="1:13" ht="22" customHeight="1">
      <c r="A24" t="s">
        <v>235</v>
      </c>
      <c r="D24" s="105">
        <v>15</v>
      </c>
      <c r="E24" s="106" t="str">
        <f>VLOOKUP(A24,'Soru Listesi'!B:F,5,0)</f>
      </c>
      <c r="F24" s="106"/>
      <c r="G24" s="106"/>
      <c r="H24" s="36"/>
      <c r="I24" s="36"/>
      <c r="J24" s="36"/>
      <c r="K24" s="36"/>
      <c r="L24" s="23"/>
      <c r="M24" s="23"/>
    </row>
    <row r="25" spans="1:13" ht="22" customHeight="1">
      <c r="A25" t="s">
        <v>246</v>
      </c>
      <c r="D25" s="105">
        <v>16</v>
      </c>
      <c r="E25" s="106" t="str">
        <f>VLOOKUP(A25,'Soru Listesi'!B:F,5,0)</f>
      </c>
      <c r="F25" s="106"/>
      <c r="G25" s="106"/>
      <c r="H25" s="36"/>
      <c r="I25" s="36"/>
      <c r="J25" s="36"/>
      <c r="K25" s="36"/>
      <c r="L25" s="25"/>
      <c r="M25" s="25"/>
    </row>
    <row r="26" spans="1:13" ht="22" customHeight="1">
      <c r="A26" t="s">
        <v>270</v>
      </c>
      <c r="D26" s="105">
        <v>17</v>
      </c>
      <c r="E26" s="106" t="str">
        <f>VLOOKUP(A26,'Soru Listesi'!B:F,5,0)</f>
      </c>
      <c r="F26" s="106"/>
      <c r="G26" s="106"/>
      <c r="H26" s="37"/>
      <c r="I26" s="34"/>
      <c r="J26" s="34"/>
      <c r="K26" s="34"/>
      <c r="L26" s="23"/>
      <c r="M26" s="23"/>
    </row>
    <row r="27" spans="1:13" ht="22" customHeight="1">
      <c r="A27" t="s">
        <v>284</v>
      </c>
      <c r="D27" s="105">
        <v>18</v>
      </c>
      <c r="E27" s="106" t="str">
        <f>VLOOKUP(A27,'Soru Listesi'!B:F,5,0)</f>
      </c>
      <c r="F27" s="106"/>
      <c r="G27" s="106"/>
      <c r="H27" s="32"/>
      <c r="I27" s="32"/>
      <c r="J27" s="32"/>
      <c r="K27" s="32"/>
    </row>
    <row r="28" spans="1:13" ht="23.25" customHeight="1">
      <c r="B28" s="48" t="s">
        <v>417</v>
      </c>
      <c r="C28" s="48"/>
      <c r="D28" s="48"/>
      <c r="E28" s="48"/>
      <c r="F28" s="48"/>
      <c r="G28" s="48"/>
      <c r="H28" s="48"/>
      <c r="I28" s="48"/>
      <c r="J28" s="48"/>
      <c r="K28" s="48"/>
      <c r="L28" s="48"/>
      <c r="M28" s="48"/>
    </row>
  </sheetData>
  <mergeCells count="35">
    <mergeCell ref="E27:G27"/>
    <mergeCell ref="I10:I11"/>
    <mergeCell ref="J10:K11"/>
    <mergeCell ref="I12:I13"/>
    <mergeCell ref="J12:K13"/>
    <mergeCell ref="I14:I15"/>
    <mergeCell ref="J14:K15"/>
    <mergeCell ref="I16:I17"/>
    <mergeCell ref="E19:G19"/>
    <mergeCell ref="E20:G20"/>
    <mergeCell ref="E21:G21"/>
    <mergeCell ref="E22:G22"/>
    <mergeCell ref="E23:G23"/>
    <mergeCell ref="I3:M4"/>
    <mergeCell ref="D6:K7"/>
    <mergeCell ref="E18:G18"/>
    <mergeCell ref="J18:K19"/>
    <mergeCell ref="I20:I21"/>
    <mergeCell ref="J20:K21"/>
    <mergeCell ref="B28:M28"/>
    <mergeCell ref="D9:G9"/>
    <mergeCell ref="I9:K9"/>
    <mergeCell ref="E10:G10"/>
    <mergeCell ref="E11:G11"/>
    <mergeCell ref="E12:G12"/>
    <mergeCell ref="E13:G13"/>
    <mergeCell ref="E14:G14"/>
    <mergeCell ref="E15:G15"/>
    <mergeCell ref="E16:G16"/>
    <mergeCell ref="E17:G17"/>
    <mergeCell ref="E25:G25"/>
    <mergeCell ref="E26:G26"/>
    <mergeCell ref="E24:G24"/>
    <mergeCell ref="J16:K17"/>
    <mergeCell ref="I18:I19"/>
  </mergeCells>
  <conditionalFormatting sqref="I10:I21">
    <cfRule type="colorScale" priority="1">
      <colorScale>
        <cfvo type="min"/>
        <cfvo type="percentile" val="50"/>
        <cfvo type="max"/>
        <color rgb="FFF8696B"/>
        <color rgb="FFFFEB84"/>
        <color rgb="FF63BE7B"/>
      </colorScale>
    </cfRule>
  </conditionalFormatting>
  <pageMargins left="0.23622047244094491" right="0.23622047244094491" top="0.23622047244094491" bottom="0.23622047244094491" header="0.31496062992125984" footer="0.31496062992125984"/>
  <pageSetup paperSize="9" scale="92"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M28"/>
  <sheetViews>
    <sheetView zoomScale="60" zoomScaleNormal="60" workbookViewId="0">
      <selection activeCell="K48" sqref="K48"/>
    </sheetView>
  </sheetViews>
  <sheetFormatPr baseColWidth="10" defaultColWidth="8.83203125" defaultRowHeight="15"/>
  <cols>
    <col min="2" max="6" width="12.83203125" customWidth="1"/>
    <col min="7" max="7" width="14.83203125" customWidth="1"/>
    <col min="8" max="8" width="12.83203125" customWidth="1"/>
    <col min="9" max="9" width="11.83203125" customWidth="1"/>
    <col min="10" max="10" width="13.83203125" customWidth="1"/>
    <col min="11" max="13" width="12.83203125" customWidth="1"/>
  </cols>
  <sheetData>
    <row r="2" spans="3:13" ht="23.25" customHeight="1"/>
    <row r="3" spans="3:13" ht="23.25" customHeight="1">
      <c r="I3" s="93" t="s">
        <v>423</v>
      </c>
      <c r="J3" s="93"/>
      <c r="K3" s="93"/>
      <c r="L3" s="93"/>
      <c r="M3" s="93"/>
    </row>
    <row r="4" spans="3:13" ht="23.25" customHeight="1">
      <c r="I4" s="93"/>
      <c r="J4" s="93"/>
      <c r="K4" s="93"/>
      <c r="L4" s="93"/>
      <c r="M4" s="93"/>
    </row>
    <row r="5" spans="3:13" ht="23.25" customHeight="1"/>
    <row r="6" spans="3:13" ht="23.25" customHeight="1">
      <c r="C6" s="103" t="s">
        <v>439</v>
      </c>
      <c r="D6" s="103"/>
      <c r="E6" s="103"/>
      <c r="F6" s="103"/>
      <c r="G6" s="103"/>
      <c r="H6" s="103"/>
      <c r="I6" s="103"/>
      <c r="J6" s="103"/>
      <c r="K6" s="103"/>
      <c r="L6" s="103"/>
    </row>
    <row r="7" spans="3:13" ht="23.25" customHeight="1">
      <c r="C7" s="103"/>
      <c r="D7" s="103"/>
      <c r="E7" s="103"/>
      <c r="F7" s="103"/>
      <c r="G7" s="103"/>
      <c r="H7" s="103"/>
      <c r="I7" s="103"/>
      <c r="J7" s="103"/>
      <c r="K7" s="103"/>
      <c r="L7" s="103"/>
    </row>
    <row r="8" spans="3:13" ht="23.25" customHeight="1">
      <c r="D8" s="38"/>
      <c r="E8" s="38"/>
      <c r="F8" s="38"/>
      <c r="G8" s="38"/>
      <c r="H8" s="38"/>
      <c r="I8" s="38"/>
      <c r="J8" s="38"/>
      <c r="K8" s="38"/>
    </row>
    <row r="9" spans="3:13" ht="22.5" customHeight="1">
      <c r="H9" s="51" t="s">
        <v>440</v>
      </c>
      <c r="I9" s="51"/>
      <c r="J9" s="51"/>
      <c r="K9" s="51"/>
      <c r="L9" s="51"/>
    </row>
    <row r="10" spans="3:13" ht="22" customHeight="1">
      <c r="H10" s="51"/>
      <c r="I10" s="51"/>
      <c r="J10" s="51"/>
      <c r="K10" s="51"/>
      <c r="L10" s="51"/>
    </row>
    <row r="11" spans="3:13" ht="22" customHeight="1">
      <c r="H11" s="51"/>
      <c r="I11" s="51"/>
      <c r="J11" s="51"/>
      <c r="K11" s="51"/>
      <c r="L11" s="51"/>
    </row>
    <row r="12" spans="3:13" ht="22" customHeight="1"/>
    <row r="13" spans="3:13" ht="22" customHeight="1">
      <c r="H13" s="51" t="s">
        <v>441</v>
      </c>
      <c r="I13" s="51"/>
      <c r="J13" s="51"/>
      <c r="K13" s="51"/>
      <c r="L13" s="51"/>
    </row>
    <row r="14" spans="3:13" ht="22" customHeight="1">
      <c r="H14" s="51"/>
      <c r="I14" s="51"/>
      <c r="J14" s="51"/>
      <c r="K14" s="51"/>
      <c r="L14" s="51"/>
    </row>
    <row r="15" spans="3:13" ht="22" customHeight="1">
      <c r="H15" s="51"/>
      <c r="I15" s="51"/>
      <c r="J15" s="51"/>
      <c r="K15" s="51"/>
      <c r="L15" s="51"/>
    </row>
    <row r="16" spans="3:13" ht="22" customHeight="1"/>
    <row r="17" spans="2:13" ht="22" customHeight="1">
      <c r="H17" s="51" t="s">
        <v>442</v>
      </c>
      <c r="I17" s="51"/>
      <c r="J17" s="51"/>
      <c r="K17" s="51"/>
      <c r="L17" s="51"/>
    </row>
    <row r="18" spans="2:13" ht="22" customHeight="1">
      <c r="H18" s="51"/>
      <c r="I18" s="51"/>
      <c r="J18" s="51"/>
      <c r="K18" s="51"/>
      <c r="L18" s="51"/>
      <c r="M18" s="28"/>
    </row>
    <row r="19" spans="2:13" ht="22" customHeight="1">
      <c r="H19" s="51"/>
      <c r="I19" s="51"/>
      <c r="J19" s="51"/>
      <c r="K19" s="51"/>
      <c r="L19" s="51"/>
      <c r="M19" s="28"/>
    </row>
    <row r="20" spans="2:13" ht="22" customHeight="1">
      <c r="L20" s="23"/>
      <c r="M20" s="23"/>
    </row>
    <row r="21" spans="2:13" ht="22" customHeight="1">
      <c r="H21" s="51" t="s">
        <v>443</v>
      </c>
      <c r="I21" s="51"/>
      <c r="J21" s="51"/>
      <c r="K21" s="51"/>
      <c r="L21" s="51"/>
      <c r="M21" s="23"/>
    </row>
    <row r="22" spans="2:13" ht="22" customHeight="1">
      <c r="H22" s="51"/>
      <c r="I22" s="51"/>
      <c r="J22" s="51"/>
      <c r="K22" s="51"/>
      <c r="L22" s="51"/>
      <c r="M22" s="23"/>
    </row>
    <row r="23" spans="2:13" ht="22" customHeight="1">
      <c r="H23" s="51"/>
      <c r="I23" s="51"/>
      <c r="J23" s="51"/>
      <c r="K23" s="51"/>
      <c r="L23" s="51"/>
      <c r="M23" s="23"/>
    </row>
    <row r="24" spans="2:13" ht="22" customHeight="1">
      <c r="L24" s="23"/>
      <c r="M24" s="23"/>
    </row>
    <row r="25" spans="2:13" ht="22" customHeight="1">
      <c r="H25" s="51" t="s">
        <v>444</v>
      </c>
      <c r="I25" s="51"/>
      <c r="J25" s="51"/>
      <c r="K25" s="51"/>
      <c r="L25" s="51"/>
      <c r="M25" s="25"/>
    </row>
    <row r="26" spans="2:13" ht="22" customHeight="1">
      <c r="H26" s="51"/>
      <c r="I26" s="51"/>
      <c r="J26" s="51"/>
      <c r="K26" s="51"/>
      <c r="L26" s="51"/>
      <c r="M26" s="23"/>
    </row>
    <row r="27" spans="2:13" ht="22" customHeight="1">
      <c r="H27" s="51"/>
      <c r="I27" s="51"/>
      <c r="J27" s="51"/>
      <c r="K27" s="51"/>
      <c r="L27" s="51"/>
    </row>
    <row r="28" spans="2:13" ht="23.25" customHeight="1">
      <c r="B28" s="48" t="s">
        <v>417</v>
      </c>
      <c r="C28" s="48"/>
      <c r="D28" s="48"/>
      <c r="E28" s="48"/>
      <c r="F28" s="48"/>
      <c r="G28" s="48"/>
      <c r="H28" s="48"/>
      <c r="I28" s="48"/>
      <c r="J28" s="48"/>
      <c r="K28" s="48"/>
      <c r="L28" s="48"/>
      <c r="M28" s="48"/>
    </row>
  </sheetData>
  <mergeCells count="8">
    <mergeCell ref="I3:M4"/>
    <mergeCell ref="H25:L27"/>
    <mergeCell ref="B28:M28"/>
    <mergeCell ref="C6:L7"/>
    <mergeCell ref="H9:L11"/>
    <mergeCell ref="H13:L15"/>
    <mergeCell ref="H17:L19"/>
    <mergeCell ref="H21:L23"/>
  </mergeCells>
  <pageMargins left="0.23622047244094491" right="0.23622047244094491" top="0.23622047244094491" bottom="0.23622047244094491" header="0.31496062992125984" footer="0.31496062992125984"/>
  <pageSetup paperSize="9" scale="92"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N27"/>
  <sheetViews>
    <sheetView zoomScale="70" zoomScaleNormal="70" workbookViewId="0">
      <selection activeCell="F32" sqref="F32"/>
    </sheetView>
  </sheetViews>
  <sheetFormatPr baseColWidth="10" defaultColWidth="8.83203125" defaultRowHeight="15"/>
  <cols>
    <col min="2" max="2" width="2.83203125" customWidth="1"/>
    <col min="3" max="14" width="12.83203125" customWidth="1"/>
  </cols>
  <sheetData>
    <row r="2" spans="2:14" ht="23.25" customHeight="1">
      <c r="B2" s="45"/>
      <c r="C2" s="94" t="s">
        <v>445</v>
      </c>
      <c r="D2" s="94"/>
      <c r="E2" s="94"/>
      <c r="F2" s="94"/>
      <c r="G2" s="94"/>
      <c r="H2" s="94"/>
      <c r="I2" s="94"/>
      <c r="J2" s="94"/>
      <c r="K2" s="94"/>
      <c r="L2" s="94"/>
      <c r="M2" s="94"/>
      <c r="N2" s="94"/>
    </row>
    <row r="3" spans="2:14" ht="23.25" customHeight="1">
      <c r="B3" s="45"/>
      <c r="C3" s="94"/>
      <c r="D3" s="94"/>
      <c r="E3" s="94"/>
      <c r="F3" s="94"/>
      <c r="G3" s="94"/>
      <c r="H3" s="94"/>
      <c r="I3" s="94"/>
      <c r="J3" s="94"/>
      <c r="K3" s="94"/>
      <c r="L3" s="94"/>
      <c r="M3" s="94"/>
      <c r="N3" s="94"/>
    </row>
    <row r="4" spans="2:14" ht="23.25" customHeight="1">
      <c r="B4" s="45"/>
      <c r="C4" s="94"/>
      <c r="D4" s="94"/>
      <c r="E4" s="94"/>
      <c r="F4" s="94"/>
      <c r="G4" s="94"/>
      <c r="H4" s="94"/>
      <c r="I4" s="94"/>
      <c r="J4" s="94"/>
      <c r="K4" s="94"/>
      <c r="L4" s="94"/>
      <c r="M4" s="94"/>
      <c r="N4" s="94"/>
    </row>
    <row r="5" spans="2:14" ht="23.25" customHeight="1">
      <c r="B5" s="45"/>
      <c r="C5" s="94"/>
      <c r="D5" s="94"/>
      <c r="E5" s="94"/>
      <c r="F5" s="94"/>
      <c r="G5" s="94"/>
      <c r="H5" s="94"/>
      <c r="I5" s="94"/>
      <c r="J5" s="94"/>
      <c r="K5" s="94"/>
      <c r="L5" s="94"/>
      <c r="M5" s="94"/>
      <c r="N5" s="94"/>
    </row>
    <row r="6" spans="2:14" ht="23.25" customHeight="1">
      <c r="B6" s="45"/>
      <c r="C6" s="94"/>
      <c r="D6" s="94"/>
      <c r="E6" s="94"/>
      <c r="F6" s="94"/>
      <c r="G6" s="94"/>
      <c r="H6" s="94"/>
      <c r="I6" s="94"/>
      <c r="J6" s="94"/>
      <c r="K6" s="94"/>
      <c r="L6" s="94"/>
      <c r="M6" s="94"/>
      <c r="N6" s="94"/>
    </row>
    <row r="7" spans="2:14" ht="23.25" customHeight="1">
      <c r="B7" s="45"/>
      <c r="C7" s="94"/>
      <c r="D7" s="94"/>
      <c r="E7" s="94"/>
      <c r="F7" s="94"/>
      <c r="G7" s="94"/>
      <c r="H7" s="94"/>
      <c r="I7" s="94"/>
      <c r="J7" s="94"/>
      <c r="K7" s="94"/>
      <c r="L7" s="94"/>
      <c r="M7" s="94"/>
      <c r="N7" s="94"/>
    </row>
    <row r="8" spans="2:14" ht="23.25" customHeight="1">
      <c r="B8" s="45"/>
      <c r="C8" s="94"/>
      <c r="D8" s="94"/>
      <c r="E8" s="94"/>
      <c r="F8" s="94"/>
      <c r="G8" s="94"/>
      <c r="H8" s="94"/>
      <c r="I8" s="94"/>
      <c r="J8" s="94"/>
      <c r="K8" s="94"/>
      <c r="L8" s="94"/>
      <c r="M8" s="94"/>
      <c r="N8" s="94"/>
    </row>
    <row r="9" spans="2:14" ht="23.25" customHeight="1">
      <c r="B9" s="45"/>
      <c r="C9" s="94"/>
      <c r="D9" s="94"/>
      <c r="E9" s="94"/>
      <c r="F9" s="94"/>
      <c r="G9" s="94"/>
      <c r="H9" s="94"/>
      <c r="I9" s="94"/>
      <c r="J9" s="94"/>
      <c r="K9" s="94"/>
      <c r="L9" s="94"/>
      <c r="M9" s="94"/>
      <c r="N9" s="94"/>
    </row>
    <row r="10" spans="2:14" ht="23.25" customHeight="1">
      <c r="B10" s="45"/>
      <c r="C10" s="94"/>
      <c r="D10" s="94"/>
      <c r="E10" s="94"/>
      <c r="F10" s="94"/>
      <c r="G10" s="94"/>
      <c r="H10" s="94"/>
      <c r="I10" s="94"/>
      <c r="J10" s="94"/>
      <c r="K10" s="94"/>
      <c r="L10" s="94"/>
      <c r="M10" s="94"/>
      <c r="N10" s="94"/>
    </row>
    <row r="11" spans="2:14" ht="23.25" customHeight="1">
      <c r="B11" s="45"/>
      <c r="C11" s="94"/>
      <c r="D11" s="94"/>
      <c r="E11" s="94"/>
      <c r="F11" s="94"/>
      <c r="G11" s="94"/>
      <c r="H11" s="94"/>
      <c r="I11" s="94"/>
      <c r="J11" s="94"/>
      <c r="K11" s="94"/>
      <c r="L11" s="94"/>
      <c r="M11" s="94"/>
      <c r="N11" s="94"/>
    </row>
    <row r="12" spans="2:14" ht="23.25" customHeight="1">
      <c r="B12" s="49"/>
      <c r="C12" s="94"/>
      <c r="D12" s="94"/>
      <c r="E12" s="94"/>
      <c r="F12" s="94"/>
      <c r="G12" s="94"/>
      <c r="H12" s="94"/>
      <c r="I12" s="94"/>
      <c r="J12" s="94"/>
      <c r="K12" s="94"/>
      <c r="L12" s="94"/>
      <c r="M12" s="94"/>
      <c r="N12" s="94"/>
    </row>
    <row r="13" spans="2:14" ht="23.25" customHeight="1">
      <c r="B13" s="49"/>
      <c r="C13" s="94"/>
      <c r="D13" s="94"/>
      <c r="E13" s="94"/>
      <c r="F13" s="94"/>
      <c r="G13" s="94"/>
      <c r="H13" s="94"/>
      <c r="I13" s="94"/>
      <c r="J13" s="94"/>
      <c r="K13" s="94"/>
      <c r="L13" s="94"/>
      <c r="M13" s="94"/>
      <c r="N13" s="94"/>
    </row>
    <row r="14" spans="2:14" ht="23.25" customHeight="1">
      <c r="C14" s="94"/>
      <c r="D14" s="94"/>
      <c r="E14" s="94"/>
      <c r="F14" s="94"/>
      <c r="G14" s="94"/>
      <c r="H14" s="94"/>
      <c r="I14" s="94"/>
      <c r="J14" s="94"/>
      <c r="K14" s="94"/>
      <c r="L14" s="94"/>
      <c r="M14" s="94"/>
      <c r="N14" s="94"/>
    </row>
    <row r="15" spans="2:14" ht="23.25" customHeight="1">
      <c r="C15" s="94"/>
      <c r="D15" s="94"/>
      <c r="E15" s="94"/>
      <c r="F15" s="94"/>
      <c r="G15" s="94"/>
      <c r="H15" s="94"/>
      <c r="I15" s="94"/>
      <c r="J15" s="94"/>
      <c r="K15" s="94"/>
      <c r="L15" s="94"/>
      <c r="M15" s="94"/>
      <c r="N15" s="94"/>
    </row>
    <row r="16" spans="2:14" ht="23.25" customHeight="1">
      <c r="C16" s="94"/>
      <c r="D16" s="94"/>
      <c r="E16" s="94"/>
      <c r="F16" s="94"/>
      <c r="G16" s="94"/>
      <c r="H16" s="94"/>
      <c r="I16" s="94"/>
      <c r="J16" s="94"/>
      <c r="K16" s="94"/>
      <c r="L16" s="94"/>
      <c r="M16" s="94"/>
      <c r="N16" s="94"/>
    </row>
    <row r="17" spans="3:14" ht="23.25" customHeight="1">
      <c r="C17" s="94"/>
      <c r="D17" s="94"/>
      <c r="E17" s="94"/>
      <c r="F17" s="94"/>
      <c r="G17" s="94"/>
      <c r="H17" s="94"/>
      <c r="I17" s="94"/>
      <c r="J17" s="94"/>
      <c r="K17" s="94"/>
      <c r="L17" s="94"/>
      <c r="M17" s="94"/>
      <c r="N17" s="94"/>
    </row>
    <row r="18" spans="3:14" ht="23.25" customHeight="1">
      <c r="C18" s="94"/>
      <c r="D18" s="94"/>
      <c r="E18" s="94"/>
      <c r="F18" s="94"/>
      <c r="G18" s="94"/>
      <c r="H18" s="94"/>
      <c r="I18" s="94"/>
      <c r="J18" s="94"/>
      <c r="K18" s="94"/>
      <c r="L18" s="94"/>
      <c r="M18" s="94"/>
      <c r="N18" s="94"/>
    </row>
    <row r="19" spans="3:14" ht="23.25" customHeight="1">
      <c r="C19" s="94"/>
      <c r="D19" s="94"/>
      <c r="E19" s="94"/>
      <c r="F19" s="94"/>
      <c r="G19" s="94"/>
      <c r="H19" s="94"/>
      <c r="I19" s="94"/>
      <c r="J19" s="94"/>
      <c r="K19" s="94"/>
      <c r="L19" s="94"/>
      <c r="M19" s="94"/>
      <c r="N19" s="94"/>
    </row>
    <row r="20" spans="3:14" ht="23.25" customHeight="1">
      <c r="C20" s="94"/>
      <c r="D20" s="94"/>
      <c r="E20" s="94"/>
      <c r="F20" s="94"/>
      <c r="G20" s="94"/>
      <c r="H20" s="94"/>
      <c r="I20" s="94"/>
      <c r="J20" s="94"/>
      <c r="K20" s="94"/>
      <c r="L20" s="94"/>
      <c r="M20" s="94"/>
      <c r="N20" s="94"/>
    </row>
    <row r="21" spans="3:14" ht="23.25" customHeight="1">
      <c r="C21" s="94"/>
      <c r="D21" s="94"/>
      <c r="E21" s="94"/>
      <c r="F21" s="94"/>
      <c r="G21" s="94"/>
      <c r="H21" s="94"/>
      <c r="I21" s="94"/>
      <c r="J21" s="94"/>
      <c r="K21" s="94"/>
      <c r="L21" s="94"/>
      <c r="M21" s="94"/>
      <c r="N21" s="94"/>
    </row>
    <row r="22" spans="3:14" ht="23.25" customHeight="1">
      <c r="C22" s="94"/>
      <c r="D22" s="94"/>
      <c r="E22" s="94"/>
      <c r="F22" s="94"/>
      <c r="G22" s="94"/>
      <c r="H22" s="94"/>
      <c r="I22" s="94"/>
      <c r="J22" s="94"/>
      <c r="K22" s="94"/>
      <c r="L22" s="94"/>
      <c r="M22" s="94"/>
      <c r="N22" s="94"/>
    </row>
    <row r="23" spans="3:14" ht="23.25" customHeight="1">
      <c r="C23" s="94"/>
      <c r="D23" s="94"/>
      <c r="E23" s="94"/>
      <c r="F23" s="94"/>
      <c r="G23" s="94"/>
      <c r="H23" s="94"/>
      <c r="I23" s="94"/>
      <c r="J23" s="94"/>
      <c r="K23" s="94"/>
      <c r="L23" s="94"/>
      <c r="M23" s="94"/>
      <c r="N23" s="94"/>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P31"/>
  <sheetViews>
    <sheetView zoomScale="60" zoomScaleNormal="60" workbookViewId="0">
      <selection activeCell="G13" sqref="G13"/>
    </sheetView>
  </sheetViews>
  <sheetFormatPr baseColWidth="10" defaultColWidth="8.83203125" defaultRowHeight="15"/>
  <cols>
    <col min="2" max="2" width="3.83203125" customWidth="1"/>
    <col min="3" max="6" width="12.83203125" customWidth="1"/>
    <col min="7" max="7" width="20.83203125" customWidth="1"/>
    <col min="8" max="8" width="12.83203125" customWidth="1"/>
    <col min="9" max="9" width="11.83203125" customWidth="1"/>
    <col min="10" max="10" width="17.83203125" customWidth="1"/>
    <col min="11" max="12" width="11.83203125" customWidth="1"/>
    <col min="13" max="13" width="20.83203125" customWidth="1"/>
    <col min="14" max="15" width="12.83203125" customWidth="1"/>
    <col min="16" max="16" width="3.83203125" customWidth="1"/>
  </cols>
  <sheetData>
    <row r="2" spans="1:16" ht="23.25" customHeight="1" thickBot="1"/>
    <row r="3" spans="1:16" ht="25" customHeight="1">
      <c r="C3" s="110" t="s">
        <v>455</v>
      </c>
      <c r="D3" s="111"/>
      <c r="E3" s="111"/>
      <c r="F3" s="111"/>
      <c r="G3" s="111"/>
      <c r="H3" s="111"/>
      <c r="I3" s="111"/>
      <c r="J3" s="111"/>
      <c r="K3" s="111"/>
      <c r="L3" s="111"/>
      <c r="M3" s="111"/>
      <c r="N3" s="111"/>
      <c r="O3" s="112"/>
      <c r="P3" s="39"/>
    </row>
    <row r="4" spans="1:16" ht="25" customHeight="1">
      <c r="C4" s="64" t="s">
        <v>446</v>
      </c>
      <c r="D4" s="65"/>
      <c r="E4" s="52" t="str">
        <f>Veriler!F2</f>
      </c>
      <c r="F4" s="52"/>
      <c r="G4" s="52"/>
      <c r="H4" s="52"/>
      <c r="I4" s="52"/>
      <c r="J4" s="52"/>
      <c r="K4" s="52"/>
      <c r="L4" s="52"/>
      <c r="M4" s="52"/>
      <c r="N4" s="52"/>
      <c r="O4" s="53"/>
      <c r="P4" s="39"/>
    </row>
    <row r="5" spans="1:16" ht="25" customHeight="1">
      <c r="C5" s="64" t="s">
        <v>447</v>
      </c>
      <c r="D5" s="65"/>
      <c r="E5" s="83">
        <f>Veriler!I2</f>
      </c>
      <c r="F5" s="83"/>
      <c r="G5" s="83"/>
      <c r="H5" s="84" t="s">
        <v>414</v>
      </c>
      <c r="I5" s="84"/>
      <c r="J5" s="83">
        <f>Veriler!G2</f>
      </c>
      <c r="K5" s="85"/>
      <c r="L5" s="84" t="s">
        <v>415</v>
      </c>
      <c r="M5" s="84"/>
      <c r="N5" s="85">
        <f>Veriler!H2</f>
      </c>
      <c r="O5" s="86"/>
      <c r="P5" s="39"/>
    </row>
    <row r="6" spans="1:16" ht="25" customHeight="1">
      <c r="C6" s="64" t="s">
        <v>448</v>
      </c>
      <c r="D6" s="65"/>
      <c r="E6" s="52" t="str">
        <f>Veriler!K2</f>
      </c>
      <c r="F6" s="52"/>
      <c r="G6" s="52"/>
      <c r="H6" s="52"/>
      <c r="I6" s="52"/>
      <c r="J6" s="52"/>
      <c r="K6" s="52"/>
      <c r="L6" s="52"/>
      <c r="M6" s="52"/>
      <c r="N6" s="52"/>
      <c r="O6" s="53"/>
    </row>
    <row r="7" spans="1:16" ht="25" customHeight="1" thickBot="1">
      <c r="C7" s="70" t="s">
        <v>449</v>
      </c>
      <c r="D7" s="71"/>
      <c r="E7" s="54" t="str">
        <f>Veriler!L2</f>
      </c>
      <c r="F7" s="54"/>
      <c r="G7" s="54"/>
      <c r="H7" s="54"/>
      <c r="I7" s="54"/>
      <c r="J7" s="54"/>
      <c r="K7" s="54"/>
      <c r="L7" s="54"/>
      <c r="M7" s="54"/>
      <c r="N7" s="54"/>
      <c r="O7" s="55"/>
    </row>
    <row r="8" spans="1:16" ht="25" customHeight="1">
      <c r="C8" s="75" t="s">
        <v>450</v>
      </c>
      <c r="D8" s="76"/>
      <c r="E8" s="66" t="str">
        <f>IFERROR(LARGE(Veriler!T:T,1) &amp; " .DENETLEME","")</f>
      </c>
      <c r="F8" s="66"/>
      <c r="G8" s="66"/>
      <c r="H8" s="66" t="str">
        <f>IFERROR(LARGE(Veriler!T:T,2) &amp; " .DENETLEME","")</f>
      </c>
      <c r="F9" s="68"/>
      <c r="G9" s="68"/>
      <c r="H9" s="68" t="str">
        <f>IFERROR(VLOOKUP(LARGE(Veriler!T:T,2),Veriler!T:U,2,0),"")</f>
      </c>
      <c r="D10" s="80"/>
      <c r="E10" s="81" t="str">
        <f>IFERROR(VLOOKUP(LARGE(Veriler!T:T,1),Veriler!T:V,3,0),"")</f>
      </c>
      <c r="F10" s="81"/>
      <c r="G10" s="81"/>
      <c r="H10" s="81"/>
      <c r="I10" s="81"/>
      <c r="J10" s="81"/>
      <c r="K10" s="81"/>
      <c r="L10" s="81"/>
      <c r="M10" s="81"/>
      <c r="N10" s="81"/>
      <c r="O10" s="82"/>
    </row>
    <row r="11" spans="1:16" ht="23.25" customHeight="1" thickBot="1">
      <c r="C11" s="72" t="s">
        <v>2</v>
      </c>
      <c r="D11" s="73"/>
      <c r="E11" s="73"/>
      <c r="F11" s="73"/>
      <c r="G11" s="73"/>
      <c r="H11" s="73"/>
      <c r="I11" s="73"/>
      <c r="J11" s="73"/>
      <c r="K11" s="73"/>
      <c r="L11" s="73"/>
      <c r="M11" s="73"/>
      <c r="N11" s="73"/>
      <c r="O11" s="74"/>
    </row>
    <row r="12" spans="1:16" ht="25" customHeight="1">
      <c r="C12" s="56" t="s">
        <v>431</v>
      </c>
      <c r="D12" s="57"/>
      <c r="E12" s="57"/>
      <c r="F12" s="57"/>
      <c r="G12" s="44" t="s">
        <v>451</v>
      </c>
      <c r="H12" s="44" t="s">
        <v>2</v>
      </c>
      <c r="I12" s="58"/>
      <c r="J12" s="58"/>
      <c r="K12" s="58"/>
      <c r="L12" s="58"/>
      <c r="M12" s="58"/>
      <c r="N12" s="58"/>
      <c r="O12" s="59"/>
    </row>
    <row r="13" spans="1:16" ht="25" customHeight="1">
      <c r="A13" t="s">
        <v>12</v>
      </c>
      <c r="C13" s="41">
        <v>1</v>
      </c>
      <c r="D13" s="113" t="str">
        <f>VLOOKUP(A13,'Soru Listesi'!B:F,5,0)</f>
      </c>
      <c r="E13" s="114"/>
      <c r="F13" s="115"/>
      <c r="G13" s="40">
        <f>DenetlemeBilgileri[Hedef Puan]</f>
      </c>
      <c r="H13" s="40">
        <f>VLOOKUP(A13,KategoriSonuc[#All],2,0)</f>
      </c>
      <c r="I13" s="60"/>
      <c r="J13" s="60"/>
      <c r="K13" s="60"/>
      <c r="L13" s="60"/>
      <c r="M13" s="60"/>
      <c r="N13" s="60"/>
      <c r="O13" s="61"/>
    </row>
    <row r="14" spans="1:16" ht="25" customHeight="1">
      <c r="A14" t="s">
        <v>35</v>
      </c>
      <c r="C14" s="41">
        <v>2</v>
      </c>
      <c r="D14" s="113" t="str">
        <f>VLOOKUP(A14,'Soru Listesi'!B:F,5,0)</f>
      </c>
      <c r="E14" s="114"/>
      <c r="F14" s="115"/>
      <c r="G14" s="40">
        <f>DenetlemeBilgileri[Hedef Puan]</f>
      </c>
      <c r="H14" s="40">
        <f>VLOOKUP(A14,KategoriSonuc[#All],2,0)</f>
      </c>
      <c r="I14" s="60"/>
      <c r="J14" s="60"/>
      <c r="K14" s="60"/>
      <c r="L14" s="60"/>
      <c r="M14" s="60"/>
      <c r="N14" s="60"/>
      <c r="O14" s="61"/>
    </row>
    <row r="15" spans="1:16" ht="25" customHeight="1">
      <c r="A15" t="s">
        <v>45</v>
      </c>
      <c r="C15" s="41">
        <v>3</v>
      </c>
      <c r="D15" s="113" t="str">
        <f>VLOOKUP(A15,'Soru Listesi'!B:F,5,0)</f>
      </c>
      <c r="E15" s="114"/>
      <c r="F15" s="115"/>
      <c r="G15" s="40">
        <f>DenetlemeBilgileri[Hedef Puan]</f>
      </c>
      <c r="H15" s="40">
        <f>VLOOKUP(A15,KategoriSonuc[#All],2,0)</f>
      </c>
      <c r="I15" s="60"/>
      <c r="J15" s="60"/>
      <c r="K15" s="60"/>
      <c r="L15" s="60"/>
      <c r="M15" s="60"/>
      <c r="N15" s="60"/>
      <c r="O15" s="61"/>
    </row>
    <row r="16" spans="1:16" ht="25" customHeight="1">
      <c r="A16" t="s">
        <v>59</v>
      </c>
      <c r="C16" s="41">
        <v>4</v>
      </c>
      <c r="D16" s="113" t="str">
        <f>VLOOKUP(A16,'Soru Listesi'!B:F,5,0)</f>
      </c>
      <c r="E16" s="114"/>
      <c r="F16" s="115"/>
      <c r="G16" s="40">
        <f>DenetlemeBilgileri[Hedef Puan]</f>
      </c>
      <c r="H16" s="40">
        <f>VLOOKUP(A16,KategoriSonuc[#All],2,0)</f>
      </c>
      <c r="I16" s="60"/>
      <c r="J16" s="60"/>
      <c r="K16" s="60"/>
      <c r="L16" s="60"/>
      <c r="M16" s="60"/>
      <c r="N16" s="60"/>
      <c r="O16" s="61"/>
    </row>
    <row r="17" spans="1:16" ht="25" customHeight="1">
      <c r="A17" t="s">
        <v>77</v>
      </c>
      <c r="C17" s="41">
        <v>5</v>
      </c>
      <c r="D17" s="113" t="str">
        <f>VLOOKUP(A17,'Soru Listesi'!B:F,5,0)</f>
      </c>
      <c r="E17" s="114"/>
      <c r="F17" s="115"/>
      <c r="G17" s="40">
        <f>DenetlemeBilgileri[Hedef Puan]</f>
      </c>
      <c r="H17" s="40">
        <f>VLOOKUP(A17,KategoriSonuc[#All],2,0)</f>
      </c>
      <c r="I17" s="60"/>
      <c r="J17" s="60"/>
      <c r="K17" s="60"/>
      <c r="L17" s="60"/>
      <c r="M17" s="60"/>
      <c r="N17" s="60"/>
      <c r="O17" s="61"/>
    </row>
    <row r="18" spans="1:16" ht="25" customHeight="1">
      <c r="A18" t="s">
        <v>86</v>
      </c>
      <c r="C18" s="41">
        <v>6</v>
      </c>
      <c r="D18" s="113" t="str">
        <f>VLOOKUP(A18,'Soru Listesi'!B:F,5,0)</f>
      </c>
      <c r="E18" s="114"/>
      <c r="F18" s="115"/>
      <c r="G18" s="40">
        <f>DenetlemeBilgileri[Hedef Puan]</f>
      </c>
      <c r="H18" s="40">
        <f>VLOOKUP(A18,KategoriSonuc[#All],2,0)</f>
      </c>
      <c r="I18" s="60"/>
      <c r="J18" s="60"/>
      <c r="K18" s="60"/>
      <c r="L18" s="60"/>
      <c r="M18" s="60"/>
      <c r="N18" s="60"/>
      <c r="O18" s="61"/>
    </row>
    <row r="19" spans="1:16" ht="25" customHeight="1">
      <c r="A19" t="s">
        <v>93</v>
      </c>
      <c r="C19" s="41">
        <v>7</v>
      </c>
      <c r="D19" s="113" t="str">
        <f>VLOOKUP(A19,'Soru Listesi'!B:F,5,0)</f>
      </c>
      <c r="E19" s="114"/>
      <c r="F19" s="115"/>
      <c r="G19" s="40">
        <f>DenetlemeBilgileri[Hedef Puan]</f>
      </c>
      <c r="H19" s="40">
        <f>VLOOKUP(A19,KategoriSonuc[#All],2,0)</f>
      </c>
      <c r="I19" s="60"/>
      <c r="J19" s="60"/>
      <c r="K19" s="60"/>
      <c r="L19" s="60"/>
      <c r="M19" s="60"/>
      <c r="N19" s="60"/>
      <c r="O19" s="61"/>
    </row>
    <row r="20" spans="1:16" ht="25" customHeight="1">
      <c r="A20" t="s">
        <v>112</v>
      </c>
      <c r="C20" s="41">
        <v>8</v>
      </c>
      <c r="D20" s="113" t="str">
        <f>VLOOKUP(A20,'Soru Listesi'!B:F,5,0)</f>
      </c>
      <c r="E20" s="114"/>
      <c r="F20" s="115"/>
      <c r="G20" s="40">
        <f>DenetlemeBilgileri[Hedef Puan]</f>
      </c>
      <c r="H20" s="40">
        <f>VLOOKUP(A20,KategoriSonuc[#All],2,0)</f>
      </c>
      <c r="I20" s="60"/>
      <c r="J20" s="60"/>
      <c r="K20" s="60"/>
      <c r="L20" s="60"/>
      <c r="M20" s="60"/>
      <c r="N20" s="60"/>
      <c r="O20" s="61"/>
    </row>
    <row r="21" spans="1:16" ht="25" customHeight="1">
      <c r="A21" t="s">
        <v>138</v>
      </c>
      <c r="C21" s="41">
        <v>9</v>
      </c>
      <c r="D21" s="113" t="str">
        <f>VLOOKUP(A21,'Soru Listesi'!B:F,5,0)</f>
      </c>
      <c r="E21" s="114"/>
      <c r="F21" s="115"/>
      <c r="G21" s="40">
        <f>DenetlemeBilgileri[Hedef Puan]</f>
      </c>
      <c r="H21" s="40">
        <f>VLOOKUP(A21,KategoriSonuc[#All],2,0)</f>
      </c>
      <c r="I21" s="60"/>
      <c r="J21" s="60"/>
      <c r="K21" s="60"/>
      <c r="L21" s="60"/>
      <c r="M21" s="60"/>
      <c r="N21" s="60"/>
      <c r="O21" s="61"/>
      <c r="P21" s="28"/>
    </row>
    <row r="22" spans="1:16" ht="25" customHeight="1">
      <c r="A22" t="s">
        <v>153</v>
      </c>
      <c r="C22" s="41">
        <v>10</v>
      </c>
      <c r="D22" s="113" t="str">
        <f>VLOOKUP(A22,'Soru Listesi'!B:F,5,0)</f>
      </c>
      <c r="E22" s="114"/>
      <c r="F22" s="115"/>
      <c r="G22" s="40">
        <f>DenetlemeBilgileri[Hedef Puan]</f>
      </c>
      <c r="H22" s="40">
        <f>VLOOKUP(A22,KategoriSonuc[#All],2,0)</f>
      </c>
      <c r="I22" s="60"/>
      <c r="J22" s="60"/>
      <c r="K22" s="60"/>
      <c r="L22" s="60"/>
      <c r="M22" s="60"/>
      <c r="N22" s="60"/>
      <c r="O22" s="61"/>
      <c r="P22" s="28"/>
    </row>
    <row r="23" spans="1:16" ht="25" customHeight="1">
      <c r="A23" t="s">
        <v>166</v>
      </c>
      <c r="C23" s="41">
        <v>11</v>
      </c>
      <c r="D23" s="113" t="str">
        <f>VLOOKUP(A23,'Soru Listesi'!B:F,5,0)</f>
      </c>
      <c r="E23" s="114"/>
      <c r="F23" s="115"/>
      <c r="G23" s="40">
        <f>DenetlemeBilgileri[Hedef Puan]</f>
      </c>
      <c r="H23" s="40">
        <f>VLOOKUP(A23,KategoriSonuc[#All],2,0)</f>
      </c>
      <c r="I23" s="60"/>
      <c r="J23" s="60"/>
      <c r="K23" s="60"/>
      <c r="L23" s="60"/>
      <c r="M23" s="60"/>
      <c r="N23" s="60"/>
      <c r="O23" s="61"/>
      <c r="P23" s="23"/>
    </row>
    <row r="24" spans="1:16" ht="25" customHeight="1">
      <c r="A24" t="s">
        <v>186</v>
      </c>
      <c r="C24" s="41">
        <v>12</v>
      </c>
      <c r="D24" s="113" t="str">
        <f>VLOOKUP(A24,'Soru Listesi'!B:F,5,0)</f>
      </c>
      <c r="E24" s="114"/>
      <c r="F24" s="115"/>
      <c r="G24" s="40">
        <f>DenetlemeBilgileri[Hedef Puan]</f>
      </c>
      <c r="H24" s="40">
        <f>VLOOKUP(A24,KategoriSonuc[#All],2,0)</f>
      </c>
      <c r="I24" s="60"/>
      <c r="J24" s="60"/>
      <c r="K24" s="60"/>
      <c r="L24" s="60"/>
      <c r="M24" s="60"/>
      <c r="N24" s="60"/>
      <c r="O24" s="61"/>
      <c r="P24" s="23"/>
    </row>
    <row r="25" spans="1:16" ht="25" customHeight="1">
      <c r="A25" t="s">
        <v>205</v>
      </c>
      <c r="C25" s="41">
        <v>13</v>
      </c>
      <c r="D25" s="113" t="str">
        <f>VLOOKUP(A25,'Soru Listesi'!B:F,5,0)</f>
      </c>
      <c r="E25" s="114"/>
      <c r="F25" s="115"/>
      <c r="G25" s="40">
        <f>DenetlemeBilgileri[Hedef Puan]</f>
      </c>
      <c r="H25" s="40">
        <f>VLOOKUP(A25,KategoriSonuc[#All],2,0)</f>
      </c>
      <c r="I25" s="60"/>
      <c r="J25" s="60"/>
      <c r="K25" s="60"/>
      <c r="L25" s="60"/>
      <c r="M25" s="60"/>
      <c r="N25" s="60"/>
      <c r="O25" s="61"/>
      <c r="P25" s="23"/>
    </row>
    <row r="26" spans="1:16" ht="25" customHeight="1">
      <c r="A26" t="s">
        <v>220</v>
      </c>
      <c r="C26" s="41">
        <v>14</v>
      </c>
      <c r="D26" s="113" t="str">
        <f>VLOOKUP(A26,'Soru Listesi'!B:F,5,0)</f>
      </c>
      <c r="E26" s="114"/>
      <c r="F26" s="115"/>
      <c r="G26" s="40">
        <f>DenetlemeBilgileri[Hedef Puan]</f>
      </c>
      <c r="H26" s="40">
        <f>VLOOKUP(A26,KategoriSonuc[#All],2,0)</f>
      </c>
      <c r="I26" s="60"/>
      <c r="J26" s="60"/>
      <c r="K26" s="60"/>
      <c r="L26" s="60"/>
      <c r="M26" s="60"/>
      <c r="N26" s="60"/>
      <c r="O26" s="61"/>
      <c r="P26" s="23"/>
    </row>
    <row r="27" spans="1:16" ht="25" customHeight="1">
      <c r="A27" t="s">
        <v>235</v>
      </c>
      <c r="C27" s="41">
        <v>15</v>
      </c>
      <c r="D27" s="113" t="str">
        <f>VLOOKUP(A27,'Soru Listesi'!B:F,5,0)</f>
      </c>
      <c r="E27" s="114"/>
      <c r="F27" s="115"/>
      <c r="G27" s="40">
        <f>DenetlemeBilgileri[Hedef Puan]</f>
      </c>
      <c r="H27" s="40">
        <f>VLOOKUP(A27,KategoriSonuc[#All],2,0)</f>
      </c>
      <c r="I27" s="60"/>
      <c r="J27" s="60"/>
      <c r="K27" s="60"/>
      <c r="L27" s="60"/>
      <c r="M27" s="60"/>
      <c r="N27" s="60"/>
      <c r="O27" s="61"/>
      <c r="P27" s="23"/>
    </row>
    <row r="28" spans="1:16" ht="25" customHeight="1">
      <c r="A28" t="s">
        <v>246</v>
      </c>
      <c r="C28" s="41">
        <v>16</v>
      </c>
      <c r="D28" s="113" t="str">
        <f>VLOOKUP(A28,'Soru Listesi'!B:F,5,0)</f>
      </c>
      <c r="E28" s="114"/>
      <c r="F28" s="115"/>
      <c r="G28" s="40">
        <f>DenetlemeBilgileri[Hedef Puan]</f>
      </c>
      <c r="H28" s="40">
        <f>VLOOKUP(A28,KategoriSonuc[#All],2,0)</f>
      </c>
      <c r="I28" s="60"/>
      <c r="J28" s="60"/>
      <c r="K28" s="60"/>
      <c r="L28" s="60"/>
      <c r="M28" s="60"/>
      <c r="N28" s="60"/>
      <c r="O28" s="61"/>
      <c r="P28" s="25"/>
    </row>
    <row r="29" spans="1:16" ht="25" customHeight="1">
      <c r="A29" t="s">
        <v>270</v>
      </c>
      <c r="C29" s="41">
        <v>17</v>
      </c>
      <c r="D29" s="113" t="str">
        <f>VLOOKUP(A29,'Soru Listesi'!B:F,5,0)</f>
      </c>
      <c r="E29" s="114"/>
      <c r="F29" s="115"/>
      <c r="G29" s="40">
        <f>DenetlemeBilgileri[Hedef Puan]</f>
      </c>
      <c r="H29" s="40">
        <f>VLOOKUP(A29,KategoriSonuc[#All],2,0)</f>
      </c>
      <c r="I29" s="60"/>
      <c r="J29" s="60"/>
      <c r="K29" s="60"/>
      <c r="L29" s="60"/>
      <c r="M29" s="60"/>
      <c r="N29" s="60"/>
      <c r="O29" s="61"/>
      <c r="P29" s="23"/>
    </row>
    <row r="30" spans="1:16" ht="25" customHeight="1" thickBot="1">
      <c r="A30" t="s">
        <v>284</v>
      </c>
      <c r="C30" s="42">
        <v>18</v>
      </c>
      <c r="D30" s="116" t="str">
        <f>VLOOKUP(A30,'Soru Listesi'!B:F,5,0)</f>
      </c>
      <c r="E30" s="117"/>
      <c r="F30" s="118"/>
      <c r="G30" s="43">
        <f>DenetlemeBilgileri[Hedef Puan]</f>
      </c>
      <c r="H30" s="43">
        <f>VLOOKUP(A30,KategoriSonuc[#All],2,0)</f>
      </c>
      <c r="I30" s="62"/>
      <c r="J30" s="62"/>
      <c r="K30" s="62"/>
      <c r="L30" s="62"/>
      <c r="M30" s="62"/>
      <c r="N30" s="62"/>
      <c r="O30" s="63"/>
    </row>
    <row r="31" spans="1:16" ht="23.25" customHeight="1">
      <c r="B31" s="48" t="s">
        <v>417</v>
      </c>
      <c r="C31" s="48"/>
      <c r="D31" s="48"/>
      <c r="E31" s="48"/>
      <c r="F31" s="48"/>
      <c r="G31" s="48"/>
      <c r="H31" s="48"/>
      <c r="I31" s="48"/>
      <c r="J31" s="48"/>
      <c r="K31" s="48"/>
      <c r="L31" s="48"/>
      <c r="M31" s="48"/>
      <c r="N31" s="48"/>
      <c r="O31" s="48"/>
      <c r="P31" s="48"/>
    </row>
  </sheetData>
  <mergeCells count="44">
    <mergeCell ref="C3:O3"/>
    <mergeCell ref="E5:G5"/>
    <mergeCell ref="H5:I5"/>
    <mergeCell ref="J5:K5"/>
    <mergeCell ref="L5:M5"/>
    <mergeCell ref="N5:O5"/>
    <mergeCell ref="C5:D5"/>
    <mergeCell ref="E8:G8"/>
    <mergeCell ref="E9:G9"/>
    <mergeCell ref="C8:D9"/>
    <mergeCell ref="C10:D10"/>
    <mergeCell ref="E10:O10"/>
    <mergeCell ref="D30:F30"/>
    <mergeCell ref="C4:D4"/>
    <mergeCell ref="E4:O4"/>
    <mergeCell ref="L8:O8"/>
    <mergeCell ref="L9:O9"/>
    <mergeCell ref="H8:K8"/>
    <mergeCell ref="H9:K9"/>
    <mergeCell ref="D22:F22"/>
    <mergeCell ref="D23:F23"/>
    <mergeCell ref="D24:F24"/>
    <mergeCell ref="D25:F25"/>
    <mergeCell ref="D26:F26"/>
    <mergeCell ref="D27:F27"/>
    <mergeCell ref="D14:F14"/>
    <mergeCell ref="C7:D7"/>
    <mergeCell ref="C11:O11"/>
    <mergeCell ref="B31:P31"/>
    <mergeCell ref="D20:F20"/>
    <mergeCell ref="D21:F21"/>
    <mergeCell ref="E6:O6"/>
    <mergeCell ref="E7:O7"/>
    <mergeCell ref="C12:F12"/>
    <mergeCell ref="D13:F13"/>
    <mergeCell ref="I12:O30"/>
    <mergeCell ref="C6:D6"/>
    <mergeCell ref="D15:F15"/>
    <mergeCell ref="D16:F16"/>
    <mergeCell ref="D17:F17"/>
    <mergeCell ref="D18:F18"/>
    <mergeCell ref="D19:F19"/>
    <mergeCell ref="D28:F28"/>
    <mergeCell ref="D29:F29"/>
  </mergeCells>
  <pageMargins left="0.23622047244094491" right="0.23622047244094491" top="0.23622047244094491" bottom="0.23622047244094491" header="0.31496062992125984" footer="0.31496062992125984"/>
  <pageSetup paperSize="9" scale="74"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2:O28"/>
  <sheetViews>
    <sheetView zoomScale="60" zoomScaleNormal="60" workbookViewId="0">
      <selection activeCell="I3" sqref="I3:M4"/>
    </sheetView>
  </sheetViews>
  <sheetFormatPr baseColWidth="10" defaultColWidth="8.83203125" defaultRowHeight="15"/>
  <cols>
    <col min="2" max="6" width="12.83203125" customWidth="1"/>
    <col min="7" max="7" width="14.83203125" customWidth="1"/>
    <col min="8" max="8" width="12.83203125" customWidth="1"/>
    <col min="9" max="9" width="11.83203125" customWidth="1"/>
    <col min="10" max="10" width="13.83203125" customWidth="1"/>
    <col min="11" max="13" width="12.83203125" customWidth="1"/>
  </cols>
  <sheetData>
    <row r="2" spans="3:15" ht="23.25" customHeight="1">
      <c r="O2">
        <f>VLOOKUP(MAX(Veriler!T:T,1),Veriler!T:U,2,0)</f>
      </c>
    </row>
    <row r="3" spans="3:15" ht="23.25" customHeight="1">
      <c r="I3" s="93" t="s">
        <v>456</v>
      </c>
      <c r="J3" s="93"/>
      <c r="K3" s="93"/>
      <c r="L3" s="93"/>
      <c r="M3" s="93"/>
    </row>
    <row r="4" spans="3:15" ht="23.25" customHeight="1">
      <c r="I4" s="93"/>
      <c r="J4" s="93"/>
      <c r="K4" s="93"/>
      <c r="L4" s="93"/>
      <c r="M4" s="93"/>
    </row>
    <row r="5" spans="3:15" ht="23.25" customHeight="1"/>
    <row r="6" spans="3:15" ht="23.25" customHeight="1">
      <c r="C6" s="50" t="s">
        <v>439</v>
      </c>
      <c r="D6" s="50"/>
      <c r="E6" s="50"/>
      <c r="F6" s="50"/>
      <c r="G6" s="50"/>
      <c r="H6" s="50"/>
      <c r="I6" s="50"/>
      <c r="J6" s="50"/>
      <c r="K6" s="50"/>
      <c r="L6" s="50"/>
    </row>
    <row r="7" spans="3:15" ht="23.25" customHeight="1">
      <c r="C7" s="50"/>
      <c r="D7" s="50"/>
      <c r="E7" s="50"/>
      <c r="F7" s="50"/>
      <c r="G7" s="50"/>
      <c r="H7" s="50"/>
      <c r="I7" s="50"/>
      <c r="J7" s="50"/>
      <c r="K7" s="50"/>
      <c r="L7" s="50"/>
    </row>
    <row r="8" spans="3:15" ht="23.25" customHeight="1">
      <c r="D8" s="38"/>
      <c r="E8" s="38"/>
      <c r="F8" s="38"/>
      <c r="G8" s="38"/>
      <c r="H8" s="38"/>
      <c r="I8" s="38"/>
      <c r="J8" s="38"/>
      <c r="K8" s="38"/>
    </row>
    <row r="9" spans="3:15" ht="22.5" customHeight="1">
      <c r="H9" s="51" t="s">
        <v>440</v>
      </c>
      <c r="I9" s="51"/>
      <c r="J9" s="51"/>
      <c r="K9" s="51"/>
      <c r="L9" s="51"/>
    </row>
    <row r="10" spans="3:15" ht="22" customHeight="1">
      <c r="H10" s="51"/>
      <c r="I10" s="51"/>
      <c r="J10" s="51"/>
      <c r="K10" s="51"/>
      <c r="L10" s="51"/>
    </row>
    <row r="11" spans="3:15" ht="22" customHeight="1">
      <c r="H11" s="51"/>
      <c r="I11" s="51"/>
      <c r="J11" s="51"/>
      <c r="K11" s="51"/>
      <c r="L11" s="51"/>
    </row>
    <row r="12" spans="3:15" ht="22" customHeight="1"/>
    <row r="13" spans="3:15" ht="22" customHeight="1">
      <c r="H13" s="51" t="s">
        <v>441</v>
      </c>
      <c r="I13" s="51"/>
      <c r="J13" s="51"/>
      <c r="K13" s="51"/>
      <c r="L13" s="51"/>
    </row>
    <row r="14" spans="3:15" ht="22" customHeight="1">
      <c r="H14" s="51"/>
      <c r="I14" s="51"/>
      <c r="J14" s="51"/>
      <c r="K14" s="51"/>
      <c r="L14" s="51"/>
    </row>
    <row r="15" spans="3:15" ht="22" customHeight="1">
      <c r="H15" s="51"/>
      <c r="I15" s="51"/>
      <c r="J15" s="51"/>
      <c r="K15" s="51"/>
      <c r="L15" s="51"/>
    </row>
    <row r="16" spans="3:15" ht="22" customHeight="1"/>
    <row r="17" spans="2:13" ht="22" customHeight="1">
      <c r="H17" s="51" t="s">
        <v>442</v>
      </c>
      <c r="I17" s="51"/>
      <c r="J17" s="51"/>
      <c r="K17" s="51"/>
      <c r="L17" s="51"/>
    </row>
    <row r="18" spans="2:13" ht="22" customHeight="1">
      <c r="H18" s="51"/>
      <c r="I18" s="51"/>
      <c r="J18" s="51"/>
      <c r="K18" s="51"/>
      <c r="L18" s="51"/>
      <c r="M18" s="28"/>
    </row>
    <row r="19" spans="2:13" ht="22" customHeight="1">
      <c r="H19" s="51"/>
      <c r="I19" s="51"/>
      <c r="J19" s="51"/>
      <c r="K19" s="51"/>
      <c r="L19" s="51"/>
      <c r="M19" s="28"/>
    </row>
    <row r="20" spans="2:13" ht="22" customHeight="1">
      <c r="L20" s="23"/>
      <c r="M20" s="23"/>
    </row>
    <row r="21" spans="2:13" ht="22" customHeight="1">
      <c r="H21" s="51" t="s">
        <v>443</v>
      </c>
      <c r="I21" s="51"/>
      <c r="J21" s="51"/>
      <c r="K21" s="51"/>
      <c r="L21" s="51"/>
      <c r="M21" s="23"/>
    </row>
    <row r="22" spans="2:13" ht="22" customHeight="1">
      <c r="H22" s="51"/>
      <c r="I22" s="51"/>
      <c r="J22" s="51"/>
      <c r="K22" s="51"/>
      <c r="L22" s="51"/>
      <c r="M22" s="23"/>
    </row>
    <row r="23" spans="2:13" ht="22" customHeight="1">
      <c r="H23" s="51"/>
      <c r="I23" s="51"/>
      <c r="J23" s="51"/>
      <c r="K23" s="51"/>
      <c r="L23" s="51"/>
      <c r="M23" s="23"/>
    </row>
    <row r="24" spans="2:13" ht="22" customHeight="1">
      <c r="L24" s="23"/>
      <c r="M24" s="23"/>
    </row>
    <row r="25" spans="2:13" ht="22" customHeight="1">
      <c r="H25" s="51" t="s">
        <v>444</v>
      </c>
      <c r="I25" s="51"/>
      <c r="J25" s="51"/>
      <c r="K25" s="51"/>
      <c r="L25" s="51"/>
      <c r="M25" s="25"/>
    </row>
    <row r="26" spans="2:13" ht="22" customHeight="1">
      <c r="H26" s="51"/>
      <c r="I26" s="51"/>
      <c r="J26" s="51"/>
      <c r="K26" s="51"/>
      <c r="L26" s="51"/>
      <c r="M26" s="23"/>
    </row>
    <row r="27" spans="2:13" ht="22" customHeight="1">
      <c r="H27" s="51"/>
      <c r="I27" s="51"/>
      <c r="J27" s="51"/>
      <c r="K27" s="51"/>
      <c r="L27" s="51"/>
    </row>
    <row r="28" spans="2:13" ht="23.25" customHeight="1">
      <c r="B28" s="48" t="s">
        <v>417</v>
      </c>
      <c r="C28" s="48"/>
      <c r="D28" s="48"/>
      <c r="E28" s="48"/>
      <c r="F28" s="48"/>
      <c r="G28" s="48"/>
      <c r="H28" s="48"/>
      <c r="I28" s="48"/>
      <c r="J28" s="48"/>
      <c r="K28" s="48"/>
      <c r="L28" s="48"/>
      <c r="M28" s="48"/>
    </row>
  </sheetData>
  <mergeCells count="8">
    <mergeCell ref="H25:L27"/>
    <mergeCell ref="B28:M28"/>
    <mergeCell ref="I3:M4"/>
    <mergeCell ref="C6:L7"/>
    <mergeCell ref="H9:L11"/>
    <mergeCell ref="H13:L15"/>
    <mergeCell ref="H17:L19"/>
    <mergeCell ref="H21:L23"/>
  </mergeCells>
  <conditionalFormatting sqref="C9:L11">
    <cfRule type="expression" dxfId="4" priority="3">
      <formula>AND($O$2&gt;=0, $O$2&lt;=30)</formula>
    </cfRule>
  </conditionalFormatting>
  <conditionalFormatting sqref="C13:L15">
    <cfRule type="expression" dxfId="3" priority="4">
      <formula>AND($O$2&gt;=31, $O$2&lt;=50)</formula>
    </cfRule>
  </conditionalFormatting>
  <conditionalFormatting sqref="C17:L19">
    <cfRule type="expression" dxfId="2" priority="5">
      <formula>AND($O$2&gt;=51, $O$2&lt;=70)</formula>
    </cfRule>
  </conditionalFormatting>
  <conditionalFormatting sqref="C21:L23">
    <cfRule type="expression" dxfId="1" priority="2">
      <formula>AND($O$2&gt;=71, $O$2&lt;=85)</formula>
    </cfRule>
  </conditionalFormatting>
  <conditionalFormatting sqref="C25:L27">
    <cfRule type="expression" dxfId="0" priority="1">
      <formula>AND($O$2&gt;=86, $O$2&lt;=100)</formula>
    </cfRule>
  </conditionalFormatting>
  <pageMargins left="0.23622047244094491" right="0.23622047244094491" top="0.23622047244094491" bottom="0.23622047244094491" header="0.31496062992125984" footer="0.31496062992125984"/>
  <pageSetup paperSize="9" scale="92"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2:N27"/>
  <sheetViews>
    <sheetView zoomScale="70" zoomScaleNormal="70" workbookViewId="0">
      <selection activeCell="N36" sqref="N36"/>
    </sheetView>
  </sheetViews>
  <sheetFormatPr baseColWidth="10" defaultColWidth="8.83203125" defaultRowHeight="15"/>
  <cols>
    <col min="2" max="2" width="2.83203125" customWidth="1"/>
    <col min="3" max="14" width="12.83203125" customWidth="1"/>
  </cols>
  <sheetData>
    <row r="2" spans="2:14" ht="23.25" customHeight="1">
      <c r="B2" s="45"/>
      <c r="C2" s="95" t="s">
        <v>456</v>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2:M27"/>
  <sheetViews>
    <sheetView zoomScale="60" zoomScaleNormal="60" workbookViewId="0">
      <selection activeCell="N20" sqref="N20"/>
    </sheetView>
  </sheetViews>
  <sheetFormatPr baseColWidth="10" defaultColWidth="8.83203125" defaultRowHeight="15"/>
  <cols>
    <col min="2" max="6" width="12.83203125" customWidth="1"/>
    <col min="7" max="7" width="14.83203125" customWidth="1"/>
    <col min="8" max="13" width="12.83203125" customWidth="1"/>
  </cols>
  <sheetData>
    <row r="2" spans="1:13" ht="23.25" customHeight="1"/>
    <row r="3" spans="1:13" ht="23.25" customHeight="1">
      <c r="I3" s="93" t="s">
        <v>456</v>
      </c>
      <c r="J3" s="93"/>
      <c r="K3" s="93"/>
      <c r="L3" s="93"/>
      <c r="M3" s="93"/>
    </row>
    <row r="4" spans="1:13" ht="23.25" customHeight="1">
      <c r="I4" s="93"/>
      <c r="J4" s="93"/>
      <c r="K4" s="93"/>
      <c r="L4" s="93"/>
      <c r="M4" s="93"/>
    </row>
    <row r="5" spans="1:13" ht="23.25" customHeight="1"/>
    <row r="6" spans="1:13" ht="23.25" customHeight="1">
      <c r="A6" t="s">
        <v>12</v>
      </c>
      <c r="B6" s="119" t="str">
        <f>A6&amp; "- " &amp;VLOOKUP(A6,'Soru Listesi'!B:F,5,0)</f>
      </c>
      <c r="C6" s="119"/>
      <c r="D6" s="120" t="str">
        <f>VLOOKUP(A6,Veriler!X:Y,2,0)</f>
      </c>
      <c r="E6" s="120"/>
      <c r="F6" s="120"/>
      <c r="G6" s="120"/>
      <c r="H6" s="120"/>
      <c r="I6" s="120"/>
      <c r="J6" s="120"/>
      <c r="K6" s="120"/>
      <c r="L6" s="120"/>
      <c r="M6" s="120"/>
    </row>
    <row r="7" spans="1:13" ht="23.25" customHeight="1">
      <c r="B7" s="119"/>
      <c r="C7" s="119"/>
      <c r="D7" s="120"/>
      <c r="E7" s="120"/>
      <c r="F7" s="120"/>
      <c r="G7" s="120"/>
      <c r="H7" s="120"/>
      <c r="I7" s="120"/>
      <c r="J7" s="120"/>
      <c r="K7" s="120"/>
      <c r="L7" s="120"/>
      <c r="M7" s="120"/>
    </row>
    <row r="8" spans="1:13" ht="23.25" customHeight="1">
      <c r="B8" s="119"/>
      <c r="C8" s="119"/>
      <c r="D8" s="120"/>
      <c r="E8" s="120"/>
      <c r="F8" s="120"/>
      <c r="G8" s="120"/>
      <c r="H8" s="120"/>
      <c r="I8" s="120"/>
      <c r="J8" s="120"/>
      <c r="K8" s="120"/>
      <c r="L8" s="120"/>
      <c r="M8" s="120"/>
    </row>
    <row r="9" spans="1:13" ht="23.25" customHeight="1">
      <c r="A9" t="s">
        <v>35</v>
      </c>
      <c r="B9" s="119" t="str">
        <f>A9&amp; "- " &amp;VLOOKUP(A9,'Soru Listesi'!B:F,5,0)</f>
      </c>
      <c r="C9" s="119"/>
      <c r="D9" s="120" t="str">
        <f>VLOOKUP(A9,Veriler!X:Y,2,0)</f>
      </c>
      <c r="E9" s="120"/>
      <c r="F9" s="120"/>
      <c r="G9" s="120"/>
      <c r="H9" s="120"/>
      <c r="I9" s="120"/>
      <c r="J9" s="120"/>
      <c r="K9" s="120"/>
      <c r="L9" s="120"/>
      <c r="M9" s="120"/>
    </row>
    <row r="10" spans="1:13" ht="23.25" customHeight="1">
      <c r="B10" s="119"/>
      <c r="C10" s="119"/>
      <c r="D10" s="120"/>
      <c r="E10" s="120"/>
      <c r="F10" s="120"/>
      <c r="G10" s="120"/>
      <c r="H10" s="120"/>
      <c r="I10" s="120"/>
      <c r="J10" s="120"/>
      <c r="K10" s="120"/>
      <c r="L10" s="120"/>
      <c r="M10" s="120"/>
    </row>
    <row r="11" spans="1:13" ht="23.25" customHeight="1">
      <c r="B11" s="119"/>
      <c r="C11" s="119"/>
      <c r="D11" s="120"/>
      <c r="E11" s="120"/>
      <c r="F11" s="120"/>
      <c r="G11" s="120"/>
      <c r="H11" s="120"/>
      <c r="I11" s="120"/>
      <c r="J11" s="120"/>
      <c r="K11" s="120"/>
      <c r="L11" s="120"/>
      <c r="M11" s="120"/>
    </row>
    <row r="12" spans="1:13" ht="23.25" customHeight="1">
      <c r="A12" t="s">
        <v>45</v>
      </c>
      <c r="B12" s="119" t="str">
        <f>A12&amp; "- " &amp;VLOOKUP(A12,'Soru Listesi'!B:F,5,0)</f>
      </c>
      <c r="C12" s="119"/>
      <c r="D12" s="120" t="str">
        <f>VLOOKUP(A12,Veriler!X:Y,2,0)</f>
      </c>
      <c r="E12" s="120"/>
      <c r="F12" s="120"/>
      <c r="G12" s="120"/>
      <c r="H12" s="120"/>
      <c r="I12" s="120"/>
      <c r="J12" s="120"/>
      <c r="K12" s="120"/>
      <c r="L12" s="120"/>
      <c r="M12" s="120"/>
    </row>
    <row r="13" spans="1:13" ht="23.25" customHeight="1">
      <c r="B13" s="119"/>
      <c r="C13" s="119"/>
      <c r="D13" s="120"/>
      <c r="E13" s="120"/>
      <c r="F13" s="120"/>
      <c r="G13" s="120"/>
      <c r="H13" s="120"/>
      <c r="I13" s="120"/>
      <c r="J13" s="120"/>
      <c r="K13" s="120"/>
      <c r="L13" s="120"/>
      <c r="M13" s="120"/>
    </row>
    <row r="14" spans="1:13" ht="23.25" customHeight="1">
      <c r="B14" s="119"/>
      <c r="C14" s="119"/>
      <c r="D14" s="120"/>
      <c r="E14" s="120"/>
      <c r="F14" s="120"/>
      <c r="G14" s="120"/>
      <c r="H14" s="120"/>
      <c r="I14" s="120"/>
      <c r="J14" s="120"/>
      <c r="K14" s="120"/>
      <c r="L14" s="120"/>
      <c r="M14" s="120"/>
    </row>
    <row r="15" spans="1:13" ht="23.25" customHeight="1">
      <c r="A15" t="s">
        <v>59</v>
      </c>
      <c r="B15" s="119" t="str">
        <f>A15&amp; "- " &amp;VLOOKUP(A15,'Soru Listesi'!B:F,5,0)</f>
      </c>
      <c r="C15" s="119"/>
      <c r="D15" s="120" t="str">
        <f>VLOOKUP(A15,Veriler!X:Y,2,0)</f>
      </c>
      <c r="E15" s="120"/>
      <c r="F15" s="120"/>
      <c r="G15" s="120"/>
      <c r="H15" s="120"/>
      <c r="I15" s="120"/>
      <c r="J15" s="120"/>
      <c r="K15" s="120"/>
      <c r="L15" s="120"/>
      <c r="M15" s="120"/>
    </row>
    <row r="16" spans="1:13" ht="23.25" customHeight="1">
      <c r="B16" s="119"/>
      <c r="C16" s="119"/>
      <c r="D16" s="120"/>
      <c r="E16" s="120"/>
      <c r="F16" s="120"/>
      <c r="G16" s="120"/>
      <c r="H16" s="120"/>
      <c r="I16" s="120"/>
      <c r="J16" s="120"/>
      <c r="K16" s="120"/>
      <c r="L16" s="120"/>
      <c r="M16" s="120"/>
    </row>
    <row r="17" spans="1:13" ht="23.25" customHeight="1">
      <c r="B17" s="119"/>
      <c r="C17" s="119"/>
      <c r="D17" s="120"/>
      <c r="E17" s="120"/>
      <c r="F17" s="120"/>
      <c r="G17" s="120"/>
      <c r="H17" s="120"/>
      <c r="I17" s="120"/>
      <c r="J17" s="120"/>
      <c r="K17" s="120"/>
      <c r="L17" s="120"/>
      <c r="M17" s="120"/>
    </row>
    <row r="18" spans="1:13" ht="23.25" customHeight="1">
      <c r="A18" t="s">
        <v>77</v>
      </c>
      <c r="B18" s="119" t="str">
        <f>A18&amp; "- " &amp;VLOOKUP(A18,'Soru Listesi'!B:F,5,0)</f>
      </c>
      <c r="C18" s="119"/>
      <c r="D18" s="120" t="str">
        <f>VLOOKUP(A18,Veriler!X:Y,2,0)</f>
      </c>
      <c r="E18" s="120"/>
      <c r="F18" s="120"/>
      <c r="G18" s="120"/>
      <c r="H18" s="120"/>
      <c r="I18" s="120"/>
      <c r="J18" s="120"/>
      <c r="K18" s="120"/>
      <c r="L18" s="120"/>
      <c r="M18" s="120"/>
    </row>
    <row r="19" spans="1:13" ht="23.25" customHeight="1">
      <c r="B19" s="119"/>
      <c r="C19" s="119"/>
      <c r="D19" s="120"/>
      <c r="E19" s="120"/>
      <c r="F19" s="120"/>
      <c r="G19" s="120"/>
      <c r="H19" s="120"/>
      <c r="I19" s="120"/>
      <c r="J19" s="120"/>
      <c r="K19" s="120"/>
      <c r="L19" s="120"/>
      <c r="M19" s="120"/>
    </row>
    <row r="20" spans="1:13" ht="23.25" customHeight="1">
      <c r="B20" s="119"/>
      <c r="C20" s="119"/>
      <c r="D20" s="120"/>
      <c r="E20" s="120"/>
      <c r="F20" s="120"/>
      <c r="G20" s="120"/>
      <c r="H20" s="120"/>
      <c r="I20" s="120"/>
      <c r="J20" s="120"/>
      <c r="K20" s="120"/>
      <c r="L20" s="120"/>
      <c r="M20" s="120"/>
    </row>
    <row r="21" spans="1:13" ht="23.25" customHeight="1">
      <c r="A21" t="s">
        <v>86</v>
      </c>
      <c r="B21" s="119" t="str">
        <f>A21&amp; "- " &amp;VLOOKUP(A21,'Soru Listesi'!B:F,5,0)</f>
      </c>
      <c r="C21" s="119"/>
      <c r="D21" s="120" t="str">
        <f>VLOOKUP(A21,Veriler!X:Y,2,0)</f>
      </c>
      <c r="E21" s="120"/>
      <c r="F21" s="120"/>
      <c r="G21" s="120"/>
      <c r="H21" s="120"/>
      <c r="I21" s="120"/>
      <c r="J21" s="120"/>
      <c r="K21" s="120"/>
      <c r="L21" s="120"/>
      <c r="M21" s="120"/>
    </row>
    <row r="22" spans="1:13" ht="23.25" customHeight="1">
      <c r="B22" s="119"/>
      <c r="C22" s="119"/>
      <c r="D22" s="120"/>
      <c r="E22" s="120"/>
      <c r="F22" s="120"/>
      <c r="G22" s="120"/>
      <c r="H22" s="120"/>
      <c r="I22" s="120"/>
      <c r="J22" s="120"/>
      <c r="K22" s="120"/>
      <c r="L22" s="120"/>
      <c r="M22" s="120"/>
    </row>
    <row r="23" spans="1:13" ht="23.25" customHeight="1">
      <c r="B23" s="119"/>
      <c r="C23" s="119"/>
      <c r="D23" s="120"/>
      <c r="E23" s="120"/>
      <c r="F23" s="120"/>
      <c r="G23" s="120"/>
      <c r="H23" s="120"/>
      <c r="I23" s="120"/>
      <c r="J23" s="120"/>
      <c r="K23" s="120"/>
      <c r="L23" s="120"/>
      <c r="M23" s="120"/>
    </row>
    <row r="24" spans="1:13" ht="23.25" customHeight="1">
      <c r="A24" t="s">
        <v>93</v>
      </c>
      <c r="B24" s="119" t="str">
        <f>A24&amp; "- " &amp;VLOOKUP(A24,'Soru Listesi'!B:F,5,0)</f>
      </c>
      <c r="C24" s="119"/>
      <c r="D24" s="120" t="str">
        <f>VLOOKUP(A24,Veriler!X:Y,2,0)</f>
      </c>
      <c r="E24" s="120"/>
      <c r="F24" s="120"/>
      <c r="G24" s="120"/>
      <c r="H24" s="120"/>
      <c r="I24" s="120"/>
      <c r="J24" s="120"/>
      <c r="K24" s="120"/>
      <c r="L24" s="120"/>
      <c r="M24" s="120"/>
    </row>
    <row r="25" spans="1:13" ht="23.25" customHeight="1">
      <c r="B25" s="119"/>
      <c r="C25" s="119"/>
      <c r="D25" s="120"/>
      <c r="E25" s="120"/>
      <c r="F25" s="120"/>
      <c r="G25" s="120"/>
      <c r="H25" s="120"/>
      <c r="I25" s="120"/>
      <c r="J25" s="120"/>
      <c r="K25" s="120"/>
      <c r="L25" s="120"/>
      <c r="M25" s="120"/>
    </row>
    <row r="26" spans="1:13" ht="23.25" customHeight="1">
      <c r="B26" s="119"/>
      <c r="C26" s="119"/>
      <c r="D26" s="120"/>
      <c r="E26" s="120"/>
      <c r="F26" s="120"/>
      <c r="G26" s="120"/>
      <c r="H26" s="120"/>
      <c r="I26" s="120"/>
      <c r="J26" s="120"/>
      <c r="K26" s="120"/>
      <c r="L26" s="120"/>
      <c r="M26" s="120"/>
    </row>
    <row r="27" spans="1:13" ht="23.25" customHeight="1">
      <c r="B27" s="48" t="s">
        <v>417</v>
      </c>
      <c r="C27" s="48"/>
      <c r="D27" s="48"/>
      <c r="E27" s="48"/>
      <c r="F27" s="48"/>
      <c r="G27" s="48"/>
      <c r="H27" s="48"/>
      <c r="I27" s="48"/>
      <c r="J27" s="48"/>
      <c r="K27" s="48"/>
      <c r="L27" s="48"/>
      <c r="M27" s="48"/>
    </row>
  </sheetData>
  <mergeCells count="16">
    <mergeCell ref="B24:C26"/>
    <mergeCell ref="D24:M26"/>
    <mergeCell ref="I3:M4"/>
    <mergeCell ref="B27:M27"/>
    <mergeCell ref="B6:C8"/>
    <mergeCell ref="D6:M8"/>
    <mergeCell ref="B9:C11"/>
    <mergeCell ref="D9:M11"/>
    <mergeCell ref="B12:C14"/>
    <mergeCell ref="D12:M14"/>
    <mergeCell ref="B15:C17"/>
    <mergeCell ref="D15:M17"/>
    <mergeCell ref="B18:C20"/>
    <mergeCell ref="D18:M20"/>
    <mergeCell ref="B21:C23"/>
    <mergeCell ref="D21:M23"/>
  </mergeCells>
  <pageMargins left="0.23622047244094491" right="0.23622047244094491" top="0.23622047244094491" bottom="0.23622047244094491" header="0.31496062992125984" footer="0.31496062992125984"/>
  <pageSetup paperSize="9" scale="92" fitToHeight="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2:M27"/>
  <sheetViews>
    <sheetView zoomScale="60" zoomScaleNormal="60" workbookViewId="0">
      <selection activeCell="I3" sqref="I3:M4"/>
    </sheetView>
  </sheetViews>
  <sheetFormatPr baseColWidth="10" defaultColWidth="8.83203125" defaultRowHeight="15"/>
  <cols>
    <col min="2" max="6" width="12.83203125" customWidth="1"/>
    <col min="7" max="7" width="14.83203125" customWidth="1"/>
    <col min="8" max="13" width="12.83203125" customWidth="1"/>
  </cols>
  <sheetData>
    <row r="2" spans="1:13" ht="23.25" customHeight="1"/>
    <row r="3" spans="1:13" ht="23.25" customHeight="1">
      <c r="I3" s="93" t="s">
        <v>456</v>
      </c>
      <c r="J3" s="93"/>
      <c r="K3" s="93"/>
      <c r="L3" s="93"/>
      <c r="M3" s="93"/>
    </row>
    <row r="4" spans="1:13" ht="23.25" customHeight="1">
      <c r="I4" s="93"/>
      <c r="J4" s="93"/>
      <c r="K4" s="93"/>
      <c r="L4" s="93"/>
      <c r="M4" s="93"/>
    </row>
    <row r="5" spans="1:13" ht="23.25" customHeight="1"/>
    <row r="6" spans="1:13" ht="23.25" customHeight="1">
      <c r="A6" t="s">
        <v>112</v>
      </c>
      <c r="B6" s="119" t="str">
        <f>A6&amp; "- " &amp;VLOOKUP(A6,'Soru Listesi'!B:F,5,0)</f>
      </c>
      <c r="C6" s="119"/>
      <c r="D6" s="121" t="str">
        <f>VLOOKUP(A6,Veriler!X:Y,2,0)</f>
      </c>
      <c r="E6" s="121"/>
      <c r="F6" s="121"/>
      <c r="G6" s="121"/>
      <c r="H6" s="121"/>
      <c r="I6" s="121"/>
      <c r="J6" s="121"/>
      <c r="K6" s="121"/>
      <c r="L6" s="121"/>
      <c r="M6" s="121"/>
    </row>
    <row r="7" spans="1:13" ht="23.25" customHeight="1">
      <c r="B7" s="119"/>
      <c r="C7" s="119"/>
      <c r="D7" s="121"/>
      <c r="E7" s="121"/>
      <c r="F7" s="121"/>
      <c r="G7" s="121"/>
      <c r="H7" s="121"/>
      <c r="I7" s="121"/>
      <c r="J7" s="121"/>
      <c r="K7" s="121"/>
      <c r="L7" s="121"/>
      <c r="M7" s="121"/>
    </row>
    <row r="8" spans="1:13" ht="23.25" customHeight="1">
      <c r="B8" s="119"/>
      <c r="C8" s="119"/>
      <c r="D8" s="121"/>
      <c r="E8" s="121"/>
      <c r="F8" s="121"/>
      <c r="G8" s="121"/>
      <c r="H8" s="121"/>
      <c r="I8" s="121"/>
      <c r="J8" s="121"/>
      <c r="K8" s="121"/>
      <c r="L8" s="121"/>
      <c r="M8" s="121"/>
    </row>
    <row r="9" spans="1:13" ht="23.25" customHeight="1">
      <c r="A9" t="s">
        <v>138</v>
      </c>
      <c r="B9" s="119" t="str">
        <f>A9&amp; "- " &amp;VLOOKUP(A9,'Soru Listesi'!B:F,5,0)</f>
      </c>
      <c r="C9" s="119"/>
      <c r="D9" s="121" t="str">
        <f>VLOOKUP(A9,Veriler!X:Y,2,0)</f>
      </c>
      <c r="E9" s="121"/>
      <c r="F9" s="121"/>
      <c r="G9" s="121"/>
      <c r="H9" s="121"/>
      <c r="I9" s="121"/>
      <c r="J9" s="121"/>
      <c r="K9" s="121"/>
      <c r="L9" s="121"/>
      <c r="M9" s="121"/>
    </row>
    <row r="10" spans="1:13" ht="23.25" customHeight="1">
      <c r="B10" s="119"/>
      <c r="C10" s="119"/>
      <c r="D10" s="121"/>
      <c r="E10" s="121"/>
      <c r="F10" s="121"/>
      <c r="G10" s="121"/>
      <c r="H10" s="121"/>
      <c r="I10" s="121"/>
      <c r="J10" s="121"/>
      <c r="K10" s="121"/>
      <c r="L10" s="121"/>
      <c r="M10" s="121"/>
    </row>
    <row r="11" spans="1:13" ht="23.25" customHeight="1">
      <c r="B11" s="119"/>
      <c r="C11" s="119"/>
      <c r="D11" s="121"/>
      <c r="E11" s="121"/>
      <c r="F11" s="121"/>
      <c r="G11" s="121"/>
      <c r="H11" s="121"/>
      <c r="I11" s="121"/>
      <c r="J11" s="121"/>
      <c r="K11" s="121"/>
      <c r="L11" s="121"/>
      <c r="M11" s="121"/>
    </row>
    <row r="12" spans="1:13" ht="23.25" customHeight="1">
      <c r="A12" t="s">
        <v>153</v>
      </c>
      <c r="B12" s="119" t="str">
        <f>A12&amp; "- " &amp;VLOOKUP(A12,'Soru Listesi'!B:F,5,0)</f>
      </c>
      <c r="C12" s="119"/>
      <c r="D12" s="121" t="str">
        <f>VLOOKUP(A12,Veriler!X:Y,2,0)</f>
      </c>
      <c r="E12" s="121"/>
      <c r="F12" s="121"/>
      <c r="G12" s="121"/>
      <c r="H12" s="121"/>
      <c r="I12" s="121"/>
      <c r="J12" s="121"/>
      <c r="K12" s="121"/>
      <c r="L12" s="121"/>
      <c r="M12" s="121"/>
    </row>
    <row r="13" spans="1:13" ht="23.25" customHeight="1">
      <c r="B13" s="119"/>
      <c r="C13" s="119"/>
      <c r="D13" s="121"/>
      <c r="E13" s="121"/>
      <c r="F13" s="121"/>
      <c r="G13" s="121"/>
      <c r="H13" s="121"/>
      <c r="I13" s="121"/>
      <c r="J13" s="121"/>
      <c r="K13" s="121"/>
      <c r="L13" s="121"/>
      <c r="M13" s="121"/>
    </row>
    <row r="14" spans="1:13" ht="23.25" customHeight="1">
      <c r="B14" s="119"/>
      <c r="C14" s="119"/>
      <c r="D14" s="121"/>
      <c r="E14" s="121"/>
      <c r="F14" s="121"/>
      <c r="G14" s="121"/>
      <c r="H14" s="121"/>
      <c r="I14" s="121"/>
      <c r="J14" s="121"/>
      <c r="K14" s="121"/>
      <c r="L14" s="121"/>
      <c r="M14" s="121"/>
    </row>
    <row r="15" spans="1:13" ht="23.25" customHeight="1">
      <c r="A15" t="s">
        <v>166</v>
      </c>
      <c r="B15" s="119" t="str">
        <f>A15&amp; "- " &amp;VLOOKUP(A15,'Soru Listesi'!B:F,5,0)</f>
      </c>
      <c r="C15" s="119"/>
      <c r="D15" s="121" t="str">
        <f>VLOOKUP(A15,Veriler!X:Y,2,0)</f>
      </c>
      <c r="E15" s="121"/>
      <c r="F15" s="121"/>
      <c r="G15" s="121"/>
      <c r="H15" s="121"/>
      <c r="I15" s="121"/>
      <c r="J15" s="121"/>
      <c r="K15" s="121"/>
      <c r="L15" s="121"/>
      <c r="M15" s="121"/>
    </row>
    <row r="16" spans="1:13" ht="23.25" customHeight="1">
      <c r="B16" s="119"/>
      <c r="C16" s="119"/>
      <c r="D16" s="121"/>
      <c r="E16" s="121"/>
      <c r="F16" s="121"/>
      <c r="G16" s="121"/>
      <c r="H16" s="121"/>
      <c r="I16" s="121"/>
      <c r="J16" s="121"/>
      <c r="K16" s="121"/>
      <c r="L16" s="121"/>
      <c r="M16" s="121"/>
    </row>
    <row r="17" spans="1:13" ht="23.25" customHeight="1">
      <c r="B17" s="119"/>
      <c r="C17" s="119"/>
      <c r="D17" s="121"/>
      <c r="E17" s="121"/>
      <c r="F17" s="121"/>
      <c r="G17" s="121"/>
      <c r="H17" s="121"/>
      <c r="I17" s="121"/>
      <c r="J17" s="121"/>
      <c r="K17" s="121"/>
      <c r="L17" s="121"/>
      <c r="M17" s="121"/>
    </row>
    <row r="18" spans="1:13" ht="23.25" customHeight="1">
      <c r="A18" t="s">
        <v>186</v>
      </c>
      <c r="B18" s="119" t="str">
        <f>A18&amp; "- " &amp;VLOOKUP(A18,'Soru Listesi'!B:F,5,0)</f>
      </c>
      <c r="C18" s="119"/>
      <c r="D18" s="121" t="str">
        <f>VLOOKUP(A18,Veriler!X:Y,2,0)</f>
      </c>
      <c r="E18" s="121"/>
      <c r="F18" s="121"/>
      <c r="G18" s="121"/>
      <c r="H18" s="121"/>
      <c r="I18" s="121"/>
      <c r="J18" s="121"/>
      <c r="K18" s="121"/>
      <c r="L18" s="121"/>
      <c r="M18" s="121"/>
    </row>
    <row r="19" spans="1:13" ht="23.25" customHeight="1">
      <c r="B19" s="119"/>
      <c r="C19" s="119"/>
      <c r="D19" s="121"/>
      <c r="E19" s="121"/>
      <c r="F19" s="121"/>
      <c r="G19" s="121"/>
      <c r="H19" s="121"/>
      <c r="I19" s="121"/>
      <c r="J19" s="121"/>
      <c r="K19" s="121"/>
      <c r="L19" s="121"/>
      <c r="M19" s="121"/>
    </row>
    <row r="20" spans="1:13" ht="23.25" customHeight="1">
      <c r="B20" s="119"/>
      <c r="C20" s="119"/>
      <c r="D20" s="121"/>
      <c r="E20" s="121"/>
      <c r="F20" s="121"/>
      <c r="G20" s="121"/>
      <c r="H20" s="121"/>
      <c r="I20" s="121"/>
      <c r="J20" s="121"/>
      <c r="K20" s="121"/>
      <c r="L20" s="121"/>
      <c r="M20" s="121"/>
    </row>
    <row r="21" spans="1:13" ht="23.25" customHeight="1">
      <c r="A21" t="s">
        <v>205</v>
      </c>
      <c r="B21" s="119" t="str">
        <f>A21&amp; "- " &amp;VLOOKUP(A21,'Soru Listesi'!B:F,5,0)</f>
      </c>
      <c r="C21" s="119"/>
      <c r="D21" s="121" t="str">
        <f>VLOOKUP(A21,Veriler!X:Y,2,0)</f>
      </c>
      <c r="E21" s="121"/>
      <c r="F21" s="121"/>
      <c r="G21" s="121"/>
      <c r="H21" s="121"/>
      <c r="I21" s="121"/>
      <c r="J21" s="121"/>
      <c r="K21" s="121"/>
      <c r="L21" s="121"/>
      <c r="M21" s="121"/>
    </row>
    <row r="22" spans="1:13" ht="23.25" customHeight="1">
      <c r="B22" s="119"/>
      <c r="C22" s="119"/>
      <c r="D22" s="121"/>
      <c r="E22" s="121"/>
      <c r="F22" s="121"/>
      <c r="G22" s="121"/>
      <c r="H22" s="121"/>
      <c r="I22" s="121"/>
      <c r="J22" s="121"/>
      <c r="K22" s="121"/>
      <c r="L22" s="121"/>
      <c r="M22" s="121"/>
    </row>
    <row r="23" spans="1:13" ht="23.25" customHeight="1">
      <c r="B23" s="119"/>
      <c r="C23" s="119"/>
      <c r="D23" s="121"/>
      <c r="E23" s="121"/>
      <c r="F23" s="121"/>
      <c r="G23" s="121"/>
      <c r="H23" s="121"/>
      <c r="I23" s="121"/>
      <c r="J23" s="121"/>
      <c r="K23" s="121"/>
      <c r="L23" s="121"/>
      <c r="M23" s="121"/>
    </row>
    <row r="24" spans="1:13" ht="23.25" customHeight="1">
      <c r="A24" t="s">
        <v>220</v>
      </c>
      <c r="B24" s="119" t="str">
        <f>A24&amp; "- " &amp;VLOOKUP(A24,'Soru Listesi'!B:F,5,0)</f>
      </c>
      <c r="C24" s="119"/>
      <c r="D24" s="121" t="str">
        <f>VLOOKUP(A24,Veriler!X:Y,2,0)</f>
      </c>
      <c r="E24" s="121"/>
      <c r="F24" s="121"/>
      <c r="G24" s="121"/>
      <c r="H24" s="121"/>
      <c r="I24" s="121"/>
      <c r="J24" s="121"/>
      <c r="K24" s="121"/>
      <c r="L24" s="121"/>
      <c r="M24" s="121"/>
    </row>
    <row r="25" spans="1:13" ht="23.25" customHeight="1">
      <c r="B25" s="119"/>
      <c r="C25" s="119"/>
      <c r="D25" s="121"/>
      <c r="E25" s="121"/>
      <c r="F25" s="121"/>
      <c r="G25" s="121"/>
      <c r="H25" s="121"/>
      <c r="I25" s="121"/>
      <c r="J25" s="121"/>
      <c r="K25" s="121"/>
      <c r="L25" s="121"/>
      <c r="M25" s="121"/>
    </row>
    <row r="26" spans="1:13" ht="23.25" customHeight="1">
      <c r="B26" s="119"/>
      <c r="C26" s="119"/>
      <c r="D26" s="121"/>
      <c r="E26" s="121"/>
      <c r="F26" s="121"/>
      <c r="G26" s="121"/>
      <c r="H26" s="121"/>
      <c r="I26" s="121"/>
      <c r="J26" s="121"/>
      <c r="K26" s="121"/>
      <c r="L26" s="121"/>
      <c r="M26" s="121"/>
    </row>
    <row r="27" spans="1:13" ht="23.25" customHeight="1">
      <c r="B27" s="48" t="s">
        <v>417</v>
      </c>
      <c r="C27" s="48"/>
      <c r="D27" s="48"/>
      <c r="E27" s="48"/>
      <c r="F27" s="48"/>
      <c r="G27" s="48"/>
      <c r="H27" s="48"/>
      <c r="I27" s="48"/>
      <c r="J27" s="48"/>
      <c r="K27" s="48"/>
      <c r="L27" s="48"/>
      <c r="M27" s="48"/>
    </row>
  </sheetData>
  <mergeCells count="16">
    <mergeCell ref="B24:C26"/>
    <mergeCell ref="D24:M26"/>
    <mergeCell ref="B27:M27"/>
    <mergeCell ref="B15:C17"/>
    <mergeCell ref="D15:M17"/>
    <mergeCell ref="B18:C20"/>
    <mergeCell ref="D18:M20"/>
    <mergeCell ref="B21:C23"/>
    <mergeCell ref="D21:M23"/>
    <mergeCell ref="B12:C14"/>
    <mergeCell ref="D12:M14"/>
    <mergeCell ref="I3:M4"/>
    <mergeCell ref="B6:C8"/>
    <mergeCell ref="D6:M8"/>
    <mergeCell ref="B9:C11"/>
    <mergeCell ref="D9:M11"/>
  </mergeCells>
  <pageMargins left="0.23622047244094491" right="0.23622047244094491" top="0.23622047244094491" bottom="0.23622047244094491" header="0.31496062992125984" footer="0.31496062992125984"/>
  <pageSetup paperSize="9" scale="92" fitToHeight="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2:M27"/>
  <sheetViews>
    <sheetView zoomScale="60" zoomScaleNormal="60" workbookViewId="0">
      <selection activeCell="I3" sqref="I3:M4"/>
    </sheetView>
  </sheetViews>
  <sheetFormatPr baseColWidth="10" defaultColWidth="8.83203125" defaultRowHeight="15"/>
  <cols>
    <col min="2" max="6" width="12.83203125" customWidth="1"/>
    <col min="7" max="7" width="14.83203125" customWidth="1"/>
    <col min="8" max="13" width="12.83203125" customWidth="1"/>
  </cols>
  <sheetData>
    <row r="2" spans="1:13" ht="23.25" customHeight="1"/>
    <row r="3" spans="1:13" ht="23.25" customHeight="1">
      <c r="I3" s="93" t="s">
        <v>456</v>
      </c>
      <c r="J3" s="93"/>
      <c r="K3" s="93"/>
      <c r="L3" s="93"/>
      <c r="M3" s="93"/>
    </row>
    <row r="4" spans="1:13" ht="23.25" customHeight="1">
      <c r="I4" s="93"/>
      <c r="J4" s="93"/>
      <c r="K4" s="93"/>
      <c r="L4" s="93"/>
      <c r="M4" s="93"/>
    </row>
    <row r="5" spans="1:13" ht="23.25" customHeight="1"/>
    <row r="6" spans="1:13" ht="23.25" customHeight="1">
      <c r="A6" t="s">
        <v>235</v>
      </c>
      <c r="B6" s="119" t="str">
        <f>A6&amp; "- " &amp;VLOOKUP(A6,'Soru Listesi'!B:F,5,0)</f>
      </c>
      <c r="C6" s="119"/>
      <c r="D6" s="120" t="str">
        <f>VLOOKUP(A6,Veriler!X:Y,2,0)</f>
      </c>
      <c r="E6" s="120"/>
      <c r="F6" s="120"/>
      <c r="G6" s="120"/>
      <c r="H6" s="120"/>
      <c r="I6" s="120"/>
      <c r="J6" s="120"/>
      <c r="K6" s="120"/>
      <c r="L6" s="120"/>
      <c r="M6" s="120"/>
    </row>
    <row r="7" spans="1:13" ht="23.25" customHeight="1">
      <c r="B7" s="119"/>
      <c r="C7" s="119"/>
      <c r="D7" s="120"/>
      <c r="E7" s="120"/>
      <c r="F7" s="120"/>
      <c r="G7" s="120"/>
      <c r="H7" s="120"/>
      <c r="I7" s="120"/>
      <c r="J7" s="120"/>
      <c r="K7" s="120"/>
      <c r="L7" s="120"/>
      <c r="M7" s="120"/>
    </row>
    <row r="8" spans="1:13" ht="23.25" customHeight="1">
      <c r="B8" s="119"/>
      <c r="C8" s="119"/>
      <c r="D8" s="120"/>
      <c r="E8" s="120"/>
      <c r="F8" s="120"/>
      <c r="G8" s="120"/>
      <c r="H8" s="120"/>
      <c r="I8" s="120"/>
      <c r="J8" s="120"/>
      <c r="K8" s="120"/>
      <c r="L8" s="120"/>
      <c r="M8" s="120"/>
    </row>
    <row r="9" spans="1:13" ht="23.25" customHeight="1">
      <c r="A9" t="s">
        <v>246</v>
      </c>
      <c r="B9" s="119" t="str">
        <f>A9&amp; "- " &amp;VLOOKUP(A9,'Soru Listesi'!B:F,5,0)</f>
      </c>
      <c r="C9" s="119"/>
      <c r="D9" s="120" t="str">
        <f>VLOOKUP(A9,Veriler!X:Y,2,0)</f>
      </c>
      <c r="E9" s="120"/>
      <c r="F9" s="120"/>
      <c r="G9" s="120"/>
      <c r="H9" s="120"/>
      <c r="I9" s="120"/>
      <c r="J9" s="120"/>
      <c r="K9" s="120"/>
      <c r="L9" s="120"/>
      <c r="M9" s="120"/>
    </row>
    <row r="10" spans="1:13" ht="23.25" customHeight="1">
      <c r="B10" s="119"/>
      <c r="C10" s="119"/>
      <c r="D10" s="120"/>
      <c r="E10" s="120"/>
      <c r="F10" s="120"/>
      <c r="G10" s="120"/>
      <c r="H10" s="120"/>
      <c r="I10" s="120"/>
      <c r="J10" s="120"/>
      <c r="K10" s="120"/>
      <c r="L10" s="120"/>
      <c r="M10" s="120"/>
    </row>
    <row r="11" spans="1:13" ht="23.25" customHeight="1">
      <c r="B11" s="119"/>
      <c r="C11" s="119"/>
      <c r="D11" s="120"/>
      <c r="E11" s="120"/>
      <c r="F11" s="120"/>
      <c r="G11" s="120"/>
      <c r="H11" s="120"/>
      <c r="I11" s="120"/>
      <c r="J11" s="120"/>
      <c r="K11" s="120"/>
      <c r="L11" s="120"/>
      <c r="M11" s="120"/>
    </row>
    <row r="12" spans="1:13" ht="23.25" customHeight="1">
      <c r="A12" t="s">
        <v>270</v>
      </c>
      <c r="B12" s="119" t="str">
        <f>A12&amp; "- " &amp;VLOOKUP(A12,'Soru Listesi'!B:F,5,0)</f>
      </c>
      <c r="C12" s="119"/>
      <c r="D12" s="120" t="str">
        <f>VLOOKUP(A12,Veriler!X:Y,2,0)</f>
      </c>
      <c r="E12" s="120"/>
      <c r="F12" s="120"/>
      <c r="G12" s="120"/>
      <c r="H12" s="120"/>
      <c r="I12" s="120"/>
      <c r="J12" s="120"/>
      <c r="K12" s="120"/>
      <c r="L12" s="120"/>
      <c r="M12" s="120"/>
    </row>
    <row r="13" spans="1:13" ht="23.25" customHeight="1">
      <c r="B13" s="119"/>
      <c r="C13" s="119"/>
      <c r="D13" s="120"/>
      <c r="E13" s="120"/>
      <c r="F13" s="120"/>
      <c r="G13" s="120"/>
      <c r="H13" s="120"/>
      <c r="I13" s="120"/>
      <c r="J13" s="120"/>
      <c r="K13" s="120"/>
      <c r="L13" s="120"/>
      <c r="M13" s="120"/>
    </row>
    <row r="14" spans="1:13" ht="23.25" customHeight="1">
      <c r="B14" s="119"/>
      <c r="C14" s="119"/>
      <c r="D14" s="120"/>
      <c r="E14" s="120"/>
      <c r="F14" s="120"/>
      <c r="G14" s="120"/>
      <c r="H14" s="120"/>
      <c r="I14" s="120"/>
      <c r="J14" s="120"/>
      <c r="K14" s="120"/>
      <c r="L14" s="120"/>
      <c r="M14" s="120"/>
    </row>
    <row r="15" spans="1:13" ht="23.25" customHeight="1">
      <c r="A15" t="s">
        <v>284</v>
      </c>
      <c r="B15" s="119" t="str">
        <f>A15&amp; "- " &amp;VLOOKUP(A15,'Soru Listesi'!B:F,5,0)</f>
      </c>
      <c r="C15" s="119"/>
      <c r="D15" s="120" t="str">
        <f>VLOOKUP(A15,Veriler!X:Y,2,0)</f>
      </c>
      <c r="E15" s="120"/>
      <c r="F15" s="120"/>
      <c r="G15" s="120"/>
      <c r="H15" s="120"/>
      <c r="I15" s="120"/>
      <c r="J15" s="120"/>
      <c r="K15" s="120"/>
      <c r="L15" s="120"/>
      <c r="M15" s="120"/>
    </row>
    <row r="16" spans="1:13" ht="23.25" customHeight="1">
      <c r="B16" s="119"/>
      <c r="C16" s="119"/>
      <c r="D16" s="120"/>
      <c r="E16" s="120"/>
      <c r="F16" s="120"/>
      <c r="G16" s="120"/>
      <c r="H16" s="120"/>
      <c r="I16" s="120"/>
      <c r="J16" s="120"/>
      <c r="K16" s="120"/>
      <c r="L16" s="120"/>
      <c r="M16" s="120"/>
    </row>
    <row r="17" spans="2:13" ht="23.25" customHeight="1">
      <c r="B17" s="119"/>
      <c r="C17" s="119"/>
      <c r="D17" s="120"/>
      <c r="E17" s="120"/>
      <c r="F17" s="120"/>
      <c r="G17" s="120"/>
      <c r="H17" s="120"/>
      <c r="I17" s="120"/>
      <c r="J17" s="120"/>
      <c r="K17" s="120"/>
      <c r="L17" s="120"/>
      <c r="M17" s="120"/>
    </row>
    <row r="18" spans="2:13" ht="23.25" customHeight="1">
      <c r="B18" s="87"/>
      <c r="C18" s="87"/>
      <c r="D18" s="88"/>
      <c r="E18" s="88"/>
      <c r="F18" s="88"/>
      <c r="G18" s="88"/>
      <c r="H18" s="88"/>
      <c r="I18" s="88"/>
      <c r="J18" s="88"/>
      <c r="K18" s="88"/>
      <c r="L18" s="88"/>
      <c r="M18" s="88"/>
    </row>
    <row r="19" spans="2:13" ht="23.25" customHeight="1">
      <c r="B19" s="87"/>
      <c r="C19" s="87"/>
      <c r="D19" s="88"/>
      <c r="E19" s="88"/>
      <c r="F19" s="88"/>
      <c r="G19" s="88"/>
      <c r="H19" s="88"/>
      <c r="I19" s="88"/>
      <c r="J19" s="88"/>
      <c r="K19" s="88"/>
      <c r="L19" s="88"/>
      <c r="M19" s="88"/>
    </row>
    <row r="20" spans="2:13" ht="23.25" customHeight="1">
      <c r="B20" s="87"/>
      <c r="C20" s="87"/>
      <c r="D20" s="88"/>
      <c r="E20" s="88"/>
      <c r="F20" s="88"/>
      <c r="G20" s="88"/>
      <c r="H20" s="88"/>
      <c r="I20" s="88"/>
      <c r="J20" s="88"/>
      <c r="K20" s="88"/>
      <c r="L20" s="88"/>
      <c r="M20" s="88"/>
    </row>
    <row r="21" spans="2:13" ht="23.25" customHeight="1">
      <c r="B21" s="87"/>
      <c r="C21" s="87"/>
      <c r="D21" s="88"/>
      <c r="E21" s="88"/>
      <c r="F21" s="88"/>
      <c r="G21" s="88"/>
      <c r="H21" s="88"/>
      <c r="I21" s="88"/>
      <c r="J21" s="88"/>
      <c r="K21" s="88"/>
      <c r="L21" s="88"/>
      <c r="M21" s="88"/>
    </row>
    <row r="22" spans="2:13" ht="23.25" customHeight="1">
      <c r="B22" s="87"/>
      <c r="C22" s="87"/>
      <c r="D22" s="88"/>
      <c r="E22" s="88"/>
      <c r="F22" s="88"/>
      <c r="G22" s="88"/>
      <c r="H22" s="88"/>
      <c r="I22" s="88"/>
      <c r="J22" s="88"/>
      <c r="K22" s="88"/>
      <c r="L22" s="88"/>
      <c r="M22" s="88"/>
    </row>
    <row r="23" spans="2:13" ht="23.25" customHeight="1">
      <c r="B23" s="87"/>
      <c r="C23" s="87"/>
      <c r="D23" s="88"/>
      <c r="E23" s="88"/>
      <c r="F23" s="88"/>
      <c r="G23" s="88"/>
      <c r="H23" s="88"/>
      <c r="I23" s="88"/>
      <c r="J23" s="88"/>
      <c r="K23" s="88"/>
      <c r="L23" s="88"/>
      <c r="M23" s="88"/>
    </row>
    <row r="24" spans="2:13" ht="23.25" customHeight="1">
      <c r="B24" s="87"/>
      <c r="C24" s="87"/>
      <c r="D24" s="88"/>
      <c r="E24" s="88"/>
      <c r="F24" s="88"/>
      <c r="G24" s="88"/>
      <c r="H24" s="88"/>
      <c r="I24" s="88"/>
      <c r="J24" s="88"/>
      <c r="K24" s="88"/>
      <c r="L24" s="88"/>
      <c r="M24" s="88"/>
    </row>
    <row r="25" spans="2:13" ht="23.25" customHeight="1">
      <c r="B25" s="87"/>
      <c r="C25" s="87"/>
      <c r="D25" s="88"/>
      <c r="E25" s="88"/>
      <c r="F25" s="88"/>
      <c r="G25" s="88"/>
      <c r="H25" s="88"/>
      <c r="I25" s="88"/>
      <c r="J25" s="88"/>
      <c r="K25" s="88"/>
      <c r="L25" s="88"/>
      <c r="M25" s="88"/>
    </row>
    <row r="26" spans="2:13" ht="23.25" customHeight="1">
      <c r="B26" s="87"/>
      <c r="C26" s="87"/>
      <c r="D26" s="88"/>
      <c r="E26" s="88"/>
      <c r="F26" s="88"/>
      <c r="G26" s="88"/>
      <c r="H26" s="88"/>
      <c r="I26" s="88"/>
      <c r="J26" s="88"/>
      <c r="K26" s="88"/>
      <c r="L26" s="88"/>
      <c r="M26" s="88"/>
    </row>
    <row r="27" spans="2:13" ht="23.25" customHeight="1">
      <c r="B27" s="48" t="s">
        <v>417</v>
      </c>
      <c r="C27" s="48"/>
      <c r="D27" s="48"/>
      <c r="E27" s="48"/>
      <c r="F27" s="48"/>
      <c r="G27" s="48"/>
      <c r="H27" s="48"/>
      <c r="I27" s="48"/>
      <c r="J27" s="48"/>
      <c r="K27" s="48"/>
      <c r="L27" s="48"/>
      <c r="M27" s="48"/>
    </row>
  </sheetData>
  <mergeCells count="16">
    <mergeCell ref="B24:C26"/>
    <mergeCell ref="D24:M26"/>
    <mergeCell ref="B27:M27"/>
    <mergeCell ref="B15:C17"/>
    <mergeCell ref="D15:M17"/>
    <mergeCell ref="B18:C20"/>
    <mergeCell ref="D18:M20"/>
    <mergeCell ref="B21:C23"/>
    <mergeCell ref="D21:M23"/>
    <mergeCell ref="B12:C14"/>
    <mergeCell ref="D12:M14"/>
    <mergeCell ref="I3:M4"/>
    <mergeCell ref="B6:C8"/>
    <mergeCell ref="D6:M8"/>
    <mergeCell ref="B9:C11"/>
    <mergeCell ref="D9:M11"/>
  </mergeCells>
  <pageMargins left="0.23622047244094491" right="0.23622047244094491" top="0.23622047244094491" bottom="0.23622047244094491" header="0.31496062992125984" footer="0.31496062992125984"/>
  <pageSetup paperSize="9" scale="92" fitToHeight="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2:M27"/>
  <sheetViews>
    <sheetView zoomScale="60" zoomScaleNormal="60" workbookViewId="0">
      <selection activeCell="I23" sqref="I23:M23"/>
    </sheetView>
  </sheetViews>
  <sheetFormatPr baseColWidth="10" defaultColWidth="8.83203125" defaultRowHeight="15"/>
  <cols>
    <col min="2" max="6" width="12.83203125" customWidth="1"/>
    <col min="7" max="7" width="14.83203125" customWidth="1"/>
    <col min="8" max="13" width="12.83203125" customWidth="1"/>
  </cols>
  <sheetData>
    <row r="2" spans="3:13" ht="23.25" customHeight="1"/>
    <row r="3" spans="3:13" ht="23.25" customHeight="1">
      <c r="I3" s="122" t="s">
        <v>458</v>
      </c>
      <c r="J3" s="122"/>
      <c r="K3" s="122"/>
      <c r="L3" s="122"/>
      <c r="M3" s="122"/>
    </row>
    <row r="4" spans="3:13" ht="23.25" customHeight="1">
      <c r="I4" s="122"/>
      <c r="J4" s="122"/>
      <c r="K4" s="122"/>
      <c r="L4" s="122"/>
      <c r="M4" s="122"/>
    </row>
    <row r="5" spans="3:13" ht="23.25" customHeight="1"/>
    <row r="6" spans="3:13" ht="23.25" customHeight="1">
      <c r="C6" s="89" t="str">
        <f>IFERROR(VLOOKUP(Veriler!AA2,'Soru Listesi'!A:F,6,0) &amp; " - " &amp; VLOOKUP(Veriler!AA2,'Soru Listesi'!A:F,3,0),"")</f>
      </c>
      <c r="C27" s="48"/>
      <c r="D27" s="48"/>
      <c r="E27" s="48"/>
      <c r="F27" s="48"/>
      <c r="G27" s="48"/>
      <c r="H27" s="48"/>
      <c r="I27" s="48"/>
      <c r="J27" s="48"/>
      <c r="K27" s="48"/>
      <c r="L27" s="48"/>
      <c r="M27" s="48"/>
    </row>
  </sheetData>
  <mergeCells count="42">
    <mergeCell ref="I16:M16"/>
    <mergeCell ref="I24:M24"/>
    <mergeCell ref="C19:G19"/>
    <mergeCell ref="C20:G20"/>
    <mergeCell ref="I25:M25"/>
    <mergeCell ref="I18:M18"/>
    <mergeCell ref="I19:M19"/>
    <mergeCell ref="I20:M20"/>
    <mergeCell ref="I21:M21"/>
    <mergeCell ref="I22:M22"/>
    <mergeCell ref="I23:M23"/>
    <mergeCell ref="C23:G23"/>
    <mergeCell ref="C17:G17"/>
    <mergeCell ref="C18:G18"/>
    <mergeCell ref="C21:G21"/>
    <mergeCell ref="C22:G22"/>
    <mergeCell ref="I11:M11"/>
    <mergeCell ref="I12:M12"/>
    <mergeCell ref="I13:M13"/>
    <mergeCell ref="I14:M14"/>
    <mergeCell ref="I15:M15"/>
    <mergeCell ref="I6:M6"/>
    <mergeCell ref="I7:M7"/>
    <mergeCell ref="I8:M8"/>
    <mergeCell ref="I9:M9"/>
    <mergeCell ref="I10:M10"/>
    <mergeCell ref="I3:M4"/>
    <mergeCell ref="B27:M27"/>
    <mergeCell ref="C6:G6"/>
    <mergeCell ref="C7:G7"/>
    <mergeCell ref="C8:G8"/>
    <mergeCell ref="C9:G9"/>
    <mergeCell ref="C10:G10"/>
    <mergeCell ref="C11:G11"/>
    <mergeCell ref="C12:G12"/>
    <mergeCell ref="C13:G13"/>
    <mergeCell ref="C25:G25"/>
    <mergeCell ref="C14:G14"/>
    <mergeCell ref="C15:G15"/>
    <mergeCell ref="C24:G24"/>
    <mergeCell ref="I17:M17"/>
    <mergeCell ref="C16:G16"/>
  </mergeCells>
  <pageMargins left="0.23622047244094491" right="0.23622047244094491" top="0.23622047244094491" bottom="0.23622047244094491" header="0.31496062992125984" footer="0.31496062992125984"/>
  <pageSetup paperSize="9" scale="92" fitToHeight="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2:N27"/>
  <sheetViews>
    <sheetView zoomScale="70" zoomScaleNormal="70" workbookViewId="0">
      <selection activeCell="C2" sqref="C2:N23"/>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C2:N23"/>
    <mergeCell ref="C24:N27"/>
    <mergeCell ref="B2:B11"/>
    <mergeCell ref="B12:B13"/>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ayfa4">
    <pageSetUpPr fitToPage="1"/>
  </sheetPr>
  <dimension ref="A1:E20"/>
  <sheetViews>
    <sheetView zoomScale="70" zoomScaleNormal="70" workbookViewId="0">
      <selection activeCell="B4" sqref="B4"/>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11</v>
      </c>
      <c r="B3" s="7" t="str">
        <f>VLOOKUP(A3,'Soru Listesi'!A:G,3,0)</f>
      </c>
      <c r="C3" s="125" t="str">
        <f>VLOOKUP(A3,Veriler!A:D,4,0)</f>
      </c>
      <c r="D3" s="125" t="str">
        <f>VLOOKUP(A3,'Soru Listesi'!A:G,5,0)</f>
      </c>
      <c r="E3" s="90"/>
    </row>
    <row r="4" spans="1:5" ht="138" customHeight="1">
      <c r="A4" s="4" t="s">
        <v>16</v>
      </c>
      <c r="B4" s="7" t="str">
        <f>VLOOKUP(A4,'Soru Listesi'!A:G,3,0)</f>
      </c>
      <c r="C4" s="125" t="str">
        <f>VLOOKUP(A4,Veriler!A:D,4,0)</f>
      </c>
      <c r="D4" s="125" t="str">
        <f>VLOOKUP(A4,'Soru Listesi'!A:G,5,0)</f>
      </c>
      <c r="E4" s="90"/>
    </row>
    <row r="5" spans="1:5" ht="138" customHeight="1">
      <c r="A5" s="4" t="s">
        <v>20</v>
      </c>
      <c r="B5" s="7" t="str">
        <f>VLOOKUP(A5,'Soru Listesi'!A:G,3,0)</f>
      </c>
      <c r="C5" s="125" t="str">
        <f>VLOOKUP(A5,Veriler!A:D,4,0)</f>
      </c>
      <c r="D5" s="125" t="str">
        <f>VLOOKUP(A5,'Soru Listesi'!A:G,5,0)</f>
      </c>
      <c r="E5" s="90"/>
    </row>
    <row r="6" spans="1:5" ht="138" customHeight="1">
      <c r="A6" s="4" t="s">
        <v>26</v>
      </c>
      <c r="B6" s="7" t="str">
        <f>VLOOKUP(A6,'Soru Listesi'!A:G,3,0)</f>
      </c>
      <c r="C6" s="125" t="str">
        <f>VLOOKUP(A6,Veriler!A:D,4,0)</f>
      </c>
      <c r="D6" s="125" t="str">
        <f>VLOOKUP(A6,'Soru Listesi'!A:G,5,0)</f>
      </c>
      <c r="E6" s="90"/>
    </row>
    <row r="7" spans="1:5" ht="138" customHeight="1">
      <c r="A7" s="4" t="s">
        <v>512</v>
      </c>
      <c r="B7" s="7" t="str">
        <f>VLOOKUP(A7,'Soru Listesi'!A:G,3,0)</f>
      </c>
      <c r="C7" s="125" t="str">
        <f>VLOOKUP(A7,Veriler!A:D,4,0)</f>
      </c>
      <c r="D7" s="125" t="str">
        <f>VLOOKUP(A7,'Soru Listesi'!A:G,5,0)</f>
      </c>
      <c r="E7" s="90"/>
    </row>
    <row r="9" spans="1:5">
      <c r="C9" s="5"/>
    </row>
    <row r="10" spans="1:5">
      <c r="B10" s="10" t="s">
        <v>299</v>
      </c>
      <c r="C10" s="10" t="s">
        <v>9</v>
      </c>
      <c r="D10" s="10" t="s">
        <v>1</v>
      </c>
    </row>
    <row r="11" spans="1:5">
      <c r="B11" s="9" t="s">
        <v>11</v>
      </c>
      <c r="C11" s="9" t="str">
        <f>VLOOKUP(B11,'Soru Listesi'!A:C,3,0)</f>
      </c>
      <c r="D11" s="9">
        <f>VLOOKUP(B11,Veriler!A:B,2,0)</f>
      </c>
    </row>
    <row r="12" spans="1:5">
      <c r="B12" s="9" t="s">
        <v>16</v>
      </c>
      <c r="C12" s="9" t="str">
        <f>VLOOKUP(B12,'Soru Listesi'!A:C,3,0)</f>
      </c>
      <c r="D12" s="9">
        <f>VLOOKUP(B12,Veriler!A:B,2,0)</f>
      </c>
    </row>
    <row r="13" spans="1:5">
      <c r="B13" s="9" t="s">
        <v>20</v>
      </c>
      <c r="C13" s="9" t="str">
        <f>VLOOKUP(B13,'Soru Listesi'!A:C,3,0)</f>
      </c>
      <c r="D13" s="9">
        <f>VLOOKUP(B13,Veriler!A:B,2,0)</f>
      </c>
    </row>
    <row r="14" spans="1:5">
      <c r="B14" s="9" t="s">
        <v>26</v>
      </c>
      <c r="C14" s="9" t="str">
        <f>VLOOKUP(B14,'Soru Listesi'!A:C,3,0)</f>
      </c>
      <c r="D14" s="9">
        <f>VLOOKUP(B14,Veriler!A:B,2,0)</f>
      </c>
    </row>
    <row r="15" spans="1:5">
      <c r="B15" s="9" t="s">
        <v>512</v>
      </c>
      <c r="C15" s="9" t="str">
        <f>VLOOKUP(B15,'Soru Listesi'!A:C,3,0)</f>
      </c>
      <c r="D15" s="9">
        <f>VLOOKUP(B15,Veriler!A:B,2,0)</f>
      </c>
    </row>
    <row r="16" spans="1:5">
      <c r="B16" s="9" t="s">
        <v>513</v>
      </c>
      <c r="C16" s="9" t="str">
        <f>VLOOKUP(B16,'Soru Listesi'!A:C,3,0)</f>
      </c>
      <c r="D16" s="9">
        <f>VLOOKUP(B16,Veriler!A:B,2,0)</f>
      </c>
    </row>
    <row r="17" spans="2:4">
      <c r="B17" s="9" t="s">
        <v>514</v>
      </c>
      <c r="C17" s="9" t="str">
        <f>VLOOKUP(B17,'Soru Listesi'!A:C,3,0)</f>
      </c>
      <c r="D17" s="9">
        <f>VLOOKUP(B17,Veriler!A:B,2,0)</f>
      </c>
    </row>
    <row r="18" spans="2:4">
      <c r="B18" s="9" t="s">
        <v>515</v>
      </c>
      <c r="C18" s="9" t="str">
        <f>VLOOKUP(B18,'Soru Listesi'!A:C,3,0)</f>
      </c>
      <c r="D18" s="9">
        <f>VLOOKUP(B18,Veriler!A:B,2,0)</f>
      </c>
    </row>
    <row r="19" spans="2:4">
      <c r="B19" s="9" t="s">
        <v>516</v>
      </c>
      <c r="C19" s="9" t="str">
        <f>VLOOKUP(B19,'Soru Listesi'!A:C,3,0)</f>
      </c>
      <c r="D19" s="9">
        <f>VLOOKUP(B19,Veriler!A:B,2,0)</f>
      </c>
    </row>
    <row r="20" spans="2:4">
      <c r="B20" s="9" t="s">
        <v>517</v>
      </c>
      <c r="C20" s="9" t="str">
        <f>VLOOKUP(B20,'Soru Listesi'!A:C,3,0)</f>
      </c>
      <c r="D20" s="9">
        <f>VLOOKUP(B20,Veriler!A:B,2,0)</f>
      </c>
    </row>
  </sheetData>
  <mergeCells count="3">
    <mergeCell ref="E3:E7"/>
    <mergeCell ref="B1:B2"/>
    <mergeCell ref="C1:E1"/>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ayfa5">
    <pageSetUpPr fitToPage="1"/>
  </sheetPr>
  <dimension ref="A1:E20"/>
  <sheetViews>
    <sheetView zoomScale="70" zoomScaleNormal="70" workbookViewId="0">
      <selection activeCell="L4" sqref="L4"/>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6" t="str">
        <f>VLOOKUP(A3,'Soru Listesi'!A:F,6,0)</f>
      </c>
      <c r="D1" s="126"/>
      <c r="E1" s="126"/>
    </row>
    <row r="2" spans="1:5" ht="20" customHeight="1">
      <c r="A2" t="s">
        <v>298</v>
      </c>
      <c r="B2" s="91"/>
      <c r="C2" s="8" t="s">
        <v>296</v>
      </c>
      <c r="D2" s="8" t="s">
        <v>6</v>
      </c>
      <c r="E2" s="8" t="s">
        <v>297</v>
      </c>
    </row>
    <row r="3" spans="1:5" ht="138" customHeight="1">
      <c r="A3" s="4" t="s">
        <v>513</v>
      </c>
      <c r="B3" s="7" t="str">
        <f>VLOOKUP(A3,'Soru Listesi'!A:G,3,0)</f>
      </c>
      <c r="C3" s="123" t="str">
        <f>VLOOKUP(A3,Veriler!A:D,4,0)</f>
      </c>
      <c r="D3" s="123" t="str">
        <f>VLOOKUP(A3,'Soru Listesi'!A:G,5,0)</f>
      </c>
      <c r="E3" s="90"/>
    </row>
    <row r="4" spans="1:5" ht="138" customHeight="1">
      <c r="A4" s="4" t="s">
        <v>514</v>
      </c>
      <c r="B4" s="7" t="str">
        <f>VLOOKUP(A4,'Soru Listesi'!A:G,3,0)</f>
      </c>
      <c r="C4" s="123" t="str">
        <f>VLOOKUP(A4,Veriler!A:D,4,0)</f>
      </c>
      <c r="D4" s="123" t="str">
        <f>VLOOKUP(A4,'Soru Listesi'!A:G,5,0)</f>
      </c>
      <c r="E4" s="90"/>
    </row>
    <row r="5" spans="1:5" ht="138" customHeight="1">
      <c r="A5" s="4" t="s">
        <v>515</v>
      </c>
      <c r="B5" s="7" t="str">
        <f>VLOOKUP(A5,'Soru Listesi'!A:G,3,0)</f>
      </c>
      <c r="C5" s="123" t="str">
        <f>VLOOKUP(A5,Veriler!A:D,4,0)</f>
      </c>
      <c r="D5" s="123" t="str">
        <f>VLOOKUP(A5,'Soru Listesi'!A:G,5,0)</f>
      </c>
      <c r="E5" s="90"/>
    </row>
    <row r="6" spans="1:5" ht="138" customHeight="1">
      <c r="A6" s="4" t="s">
        <v>516</v>
      </c>
      <c r="B6" s="7" t="str">
        <f>VLOOKUP(A6,'Soru Listesi'!A:G,3,0)</f>
      </c>
      <c r="C6" s="123" t="str">
        <f>VLOOKUP(A6,Veriler!A:D,4,0)</f>
      </c>
      <c r="D6" s="123" t="str">
        <f>VLOOKUP(A6,'Soru Listesi'!A:G,5,0)</f>
      </c>
      <c r="E6" s="90"/>
    </row>
    <row r="7" spans="1:5" ht="138" customHeight="1">
      <c r="A7" s="4" t="s">
        <v>517</v>
      </c>
      <c r="B7" s="7" t="str">
        <f>VLOOKUP(A7,'Soru Listesi'!A:G,3,0)</f>
      </c>
      <c r="C7" s="123" t="str">
        <f>VLOOKUP(A7,Veriler!A:D,4,0)</f>
      </c>
      <c r="D7" s="123" t="str">
        <f>VLOOKUP(A7,'Soru Listesi'!A:G,5,0)</f>
      </c>
      <c r="E7" s="90"/>
    </row>
    <row r="9" spans="1:5">
      <c r="C9" s="5"/>
    </row>
    <row r="10" spans="1:5">
      <c r="B10" s="10" t="s">
        <v>299</v>
      </c>
      <c r="C10" s="10" t="s">
        <v>9</v>
      </c>
      <c r="D10" s="10" t="s">
        <v>1</v>
      </c>
    </row>
    <row r="11" spans="1:5">
      <c r="B11" s="9" t="s">
        <v>11</v>
      </c>
      <c r="C11" s="9" t="str">
        <f>VLOOKUP(B11,'Soru Listesi'!A:C,3,0)</f>
      </c>
      <c r="D11" s="9">
        <f>VLOOKUP(B11,Veriler!A:B,2,0)</f>
      </c>
    </row>
    <row r="12" spans="1:5">
      <c r="B12" s="9" t="s">
        <v>16</v>
      </c>
      <c r="C12" s="9" t="str">
        <f>VLOOKUP(B12,'Soru Listesi'!A:C,3,0)</f>
      </c>
      <c r="D12" s="9">
        <f>VLOOKUP(B12,Veriler!A:B,2,0)</f>
      </c>
    </row>
    <row r="13" spans="1:5">
      <c r="B13" s="9" t="s">
        <v>20</v>
      </c>
      <c r="C13" s="9" t="str">
        <f>VLOOKUP(B13,'Soru Listesi'!A:C,3,0)</f>
      </c>
      <c r="D13" s="9">
        <f>VLOOKUP(B13,Veriler!A:B,2,0)</f>
      </c>
    </row>
    <row r="14" spans="1:5">
      <c r="B14" s="9" t="s">
        <v>26</v>
      </c>
      <c r="C14" s="9" t="str">
        <f>VLOOKUP(B14,'Soru Listesi'!A:C,3,0)</f>
      </c>
      <c r="D14" s="9">
        <f>VLOOKUP(B14,Veriler!A:B,2,0)</f>
      </c>
    </row>
    <row r="15" spans="1:5">
      <c r="B15" s="9" t="s">
        <v>512</v>
      </c>
      <c r="C15" s="9" t="str">
        <f>VLOOKUP(B15,'Soru Listesi'!A:C,3,0)</f>
      </c>
      <c r="D15" s="9">
        <f>VLOOKUP(B15,Veriler!A:B,2,0)</f>
      </c>
    </row>
    <row r="16" spans="1:5">
      <c r="B16" s="9" t="s">
        <v>513</v>
      </c>
      <c r="C16" s="9" t="str">
        <f>VLOOKUP(B16,'Soru Listesi'!A:C,3,0)</f>
      </c>
      <c r="D16" s="9">
        <f>VLOOKUP(B16,Veriler!A:B,2,0)</f>
      </c>
    </row>
    <row r="17" spans="2:4">
      <c r="B17" s="9" t="s">
        <v>514</v>
      </c>
      <c r="C17" s="9" t="str">
        <f>VLOOKUP(B17,'Soru Listesi'!A:C,3,0)</f>
      </c>
      <c r="D17" s="9">
        <f>VLOOKUP(B17,Veriler!A:B,2,0)</f>
      </c>
    </row>
    <row r="18" spans="2:4">
      <c r="B18" s="9" t="s">
        <v>515</v>
      </c>
      <c r="C18" s="9" t="str">
        <f>VLOOKUP(B18,'Soru Listesi'!A:C,3,0)</f>
      </c>
      <c r="D18" s="9">
        <f>VLOOKUP(B18,Veriler!A:B,2,0)</f>
      </c>
    </row>
    <row r="19" spans="2:4">
      <c r="B19" s="9" t="s">
        <v>516</v>
      </c>
      <c r="C19" s="9" t="str">
        <f>VLOOKUP(B19,'Soru Listesi'!A:C,3,0)</f>
      </c>
      <c r="D19" s="9">
        <f>VLOOKUP(B19,Veriler!A:B,2,0)</f>
      </c>
    </row>
    <row r="20" spans="2:4">
      <c r="B20" s="9" t="s">
        <v>517</v>
      </c>
      <c r="C20" s="9" t="str">
        <f>VLOOKUP(B20,'Soru Listesi'!A:C,3,0)</f>
      </c>
      <c r="D20" s="9">
        <f>VLOOKUP(B20,Veriler!A:B,2,0)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2:N27"/>
  <sheetViews>
    <sheetView zoomScale="70" zoomScaleNormal="70" workbookViewId="0">
      <selection activeCell="S12" sqref="S12"/>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ayfa6">
    <pageSetUpPr fitToPage="1"/>
  </sheetPr>
  <dimension ref="A1:E18"/>
  <sheetViews>
    <sheetView zoomScale="70" zoomScaleNormal="70" workbookViewId="0">
      <selection activeCell="H4" sqref="H4"/>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6" t="str">
        <f>VLOOKUP(A3,'Soru Listesi'!A:F,6,0)</f>
      </c>
      <c r="D1" s="126"/>
      <c r="E1" s="126"/>
    </row>
    <row r="2" spans="1:5" ht="20" customHeight="1">
      <c r="A2" t="s">
        <v>298</v>
      </c>
      <c r="B2" s="91"/>
      <c r="C2" s="8" t="s">
        <v>296</v>
      </c>
      <c r="D2" s="8" t="s">
        <v>6</v>
      </c>
      <c r="E2" s="8" t="s">
        <v>297</v>
      </c>
    </row>
    <row r="3" spans="1:5" ht="138" customHeight="1">
      <c r="A3" s="4" t="s">
        <v>32</v>
      </c>
      <c r="B3" s="7" t="str">
        <f>VLOOKUP(A3,'Soru Listesi'!A:G,3,0)</f>
      </c>
      <c r="C3" s="124" t="str">
        <f>VLOOKUP(A3,Veriler!A:D,4,0)</f>
      </c>
      <c r="D3" s="124" t="str">
        <f>VLOOKUP(A3,'Soru Listesi'!A:G,5,0)</f>
      </c>
      <c r="E3" s="90"/>
    </row>
    <row r="4" spans="1:5" ht="138" customHeight="1">
      <c r="A4" s="4" t="s">
        <v>37</v>
      </c>
      <c r="B4" s="7" t="str">
        <f>VLOOKUP(A4,'Soru Listesi'!A:G,3,0)</f>
      </c>
      <c r="C4" s="124" t="str">
        <f>VLOOKUP(A4,Veriler!A:D,4,0)</f>
      </c>
      <c r="D4" s="124" t="str">
        <f>VLOOKUP(A4,'Soru Listesi'!A:G,5,0)</f>
      </c>
      <c r="E4" s="90"/>
    </row>
    <row r="5" spans="1:5" ht="138" customHeight="1">
      <c r="A5" s="4" t="s">
        <v>40</v>
      </c>
      <c r="B5" s="7" t="str">
        <f>VLOOKUP(A5,'Soru Listesi'!A:G,3,0)</f>
      </c>
      <c r="C5" s="124" t="str">
        <f>VLOOKUP(A5,Veriler!A:D,4,0)</f>
      </c>
      <c r="D5" s="124" t="str">
        <f>VLOOKUP(A5,'Soru Listesi'!A:G,5,0)</f>
      </c>
      <c r="E5" s="90"/>
    </row>
    <row r="6" spans="1:5" ht="138" customHeight="1">
      <c r="A6" s="4" t="s">
        <v>518</v>
      </c>
      <c r="B6" s="7" t="str">
        <f>VLOOKUP(A6,'Soru Listesi'!A:G,3,0)</f>
      </c>
      <c r="C6" s="124" t="str">
        <f>VLOOKUP(A6,Veriler!A:D,4,0)</f>
      </c>
      <c r="D6" s="124" t="str">
        <f>VLOOKUP(A6,'Soru Listesi'!A:G,5,0)</f>
      </c>
      <c r="E6" s="90"/>
    </row>
    <row r="7" spans="1:5" ht="138" customHeight="1">
      <c r="A7" s="4" t="s">
        <v>519</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32</v>
      </c>
      <c r="C11" s="9" t="str">
        <f>VLOOKUP(B11,'Soru Listesi'!A:C,3,0)</f>
      </c>
      <c r="D11" s="9">
        <f>VLOOKUP(B11,Veriler!A:B,2,0)</f>
      </c>
    </row>
    <row r="12" spans="1:5">
      <c r="B12" s="9" t="s">
        <v>37</v>
      </c>
      <c r="C12" s="9" t="str">
        <f>VLOOKUP(B12,'Soru Listesi'!A:C,3,0)</f>
      </c>
      <c r="D12" s="9">
        <f>VLOOKUP(B12,Veriler!A:B,2,0)</f>
      </c>
    </row>
    <row r="13" spans="1:5">
      <c r="B13" s="9" t="s">
        <v>40</v>
      </c>
      <c r="C13" s="9" t="str">
        <f>VLOOKUP(B13,'Soru Listesi'!A:C,3,0)</f>
      </c>
      <c r="D13" s="9">
        <f>VLOOKUP(B13,Veriler!A:B,2,0)</f>
      </c>
    </row>
    <row r="14" spans="1:5">
      <c r="B14" s="9" t="s">
        <v>518</v>
      </c>
      <c r="C14" s="9" t="str">
        <f>VLOOKUP(B14,'Soru Listesi'!A:C,3,0)</f>
      </c>
      <c r="D14" s="9">
        <f>VLOOKUP(B14,Veriler!A:B,2,0)</f>
      </c>
    </row>
    <row r="15" spans="1:5">
      <c r="B15" s="9" t="s">
        <v>519</v>
      </c>
      <c r="C15" s="9" t="str">
        <f>VLOOKUP(B15,'Soru Listesi'!A:C,3,0)</f>
      </c>
      <c r="D15" s="9">
        <f>VLOOKUP(B15,Veriler!A:B,2,0)</f>
      </c>
    </row>
    <row r="16" spans="1:5">
      <c r="B16" s="9" t="s">
        <v>520</v>
      </c>
      <c r="C16" s="9" t="str">
        <f>VLOOKUP(B16,'Soru Listesi'!A:C,3,0)</f>
      </c>
      <c r="D16" s="9">
        <f>VLOOKUP(B16,Veriler!A:B,2,0)</f>
      </c>
    </row>
    <row r="17" spans="2:4">
      <c r="B17" s="9" t="s">
        <v>521</v>
      </c>
      <c r="C17" s="9" t="str">
        <f>VLOOKUP(B17,'Soru Listesi'!A:C,3,0)</f>
      </c>
      <c r="D17" s="9">
        <f>VLOOKUP(B17,Veriler!A:B,2,0)</f>
      </c>
    </row>
    <row r="18" spans="2:4">
      <c r="B18" s="9" t="s">
        <v>522</v>
      </c>
      <c r="C18" s="9" t="str">
        <f>VLOOKUP(B18,'Soru Listesi'!A:C,3,0)</f>
      </c>
      <c r="D18" s="9">
        <f>VLOOKUP(B18,Veriler!A:B,2,0)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ayfa7">
    <pageSetUpPr fitToPage="1"/>
  </sheetPr>
  <dimension ref="A1:E18"/>
  <sheetViews>
    <sheetView zoomScale="70" zoomScaleNormal="70" workbookViewId="0">
      <selection activeCell="C3" sqref="C3:D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520</v>
      </c>
      <c r="B3" s="7" t="str">
        <f>VLOOKUP(A3,'Soru Listesi'!A:G,3,0)</f>
      </c>
      <c r="C3" s="123" t="str">
        <f>VLOOKUP(A3,Veriler!A:D,4,0)</f>
      </c>
      <c r="D3" s="123" t="str">
        <f>VLOOKUP(A3,'Soru Listesi'!A:G,5,0)</f>
      </c>
      <c r="E3" s="90"/>
    </row>
    <row r="4" spans="1:5" ht="138" customHeight="1">
      <c r="A4" s="4" t="s">
        <v>521</v>
      </c>
      <c r="B4" s="7" t="str">
        <f>VLOOKUP(A4,'Soru Listesi'!A:G,3,0)</f>
      </c>
      <c r="C4" s="123" t="str">
        <f>VLOOKUP(A4,Veriler!A:D,4,0)</f>
      </c>
      <c r="D4" s="123" t="str">
        <f>VLOOKUP(A4,'Soru Listesi'!A:G,5,0)</f>
      </c>
      <c r="E4" s="90"/>
    </row>
    <row r="5" spans="1:5" ht="138" customHeight="1">
      <c r="A5" s="4" t="s">
        <v>522</v>
      </c>
      <c r="B5" s="7" t="str">
        <f>VLOOKUP(A5,'Soru Listesi'!A:G,3,0)</f>
      </c>
      <c r="C5" s="123" t="str">
        <f>VLOOKUP(A5,Veriler!A:D,4,0)</f>
      </c>
      <c r="D5" s="123" t="str">
        <f>VLOOKUP(A5,'Soru Listesi'!A:G,5,0)</f>
      </c>
      <c r="E5" s="90"/>
    </row>
    <row r="6" spans="1:5" ht="138" customHeight="1">
      <c r="A6" s="4"/>
      <c r="B6" s="12"/>
      <c r="C6" s="6"/>
      <c r="D6" s="6"/>
      <c r="E6" s="92"/>
    </row>
    <row r="7" spans="1:5" ht="138" customHeight="1">
      <c r="A7" s="4"/>
      <c r="B7" s="14"/>
      <c r="C7" s="6"/>
      <c r="D7" s="6"/>
      <c r="E7" s="92"/>
    </row>
    <row r="9" spans="1:5">
      <c r="C9" s="5"/>
    </row>
    <row r="10" spans="1:5">
      <c r="B10" s="10" t="s">
        <v>299</v>
      </c>
      <c r="C10" s="10" t="s">
        <v>9</v>
      </c>
      <c r="D10" s="10" t="s">
        <v>1</v>
      </c>
    </row>
    <row r="11" spans="1:5">
      <c r="B11" s="9" t="s">
        <v>32</v>
      </c>
      <c r="C11" s="9" t="str">
        <f>VLOOKUP(B11,'Soru Listesi'!A:C,3,0)</f>
      </c>
      <c r="D11" s="9">
        <f>VLOOKUP(B11,Veriler!A:B,2,0)</f>
      </c>
    </row>
    <row r="12" spans="1:5">
      <c r="B12" s="9" t="s">
        <v>37</v>
      </c>
      <c r="C12" s="9" t="str">
        <f>VLOOKUP(B12,'Soru Listesi'!A:C,3,0)</f>
      </c>
      <c r="D12" s="9">
        <f>VLOOKUP(B12,Veriler!A:B,2,0)</f>
      </c>
    </row>
    <row r="13" spans="1:5">
      <c r="B13" s="9" t="s">
        <v>40</v>
      </c>
      <c r="C13" s="9" t="str">
        <f>VLOOKUP(B13,'Soru Listesi'!A:C,3,0)</f>
      </c>
      <c r="D13" s="9">
        <f>VLOOKUP(B13,Veriler!A:B,2,0)</f>
      </c>
    </row>
    <row r="14" spans="1:5">
      <c r="B14" s="9" t="s">
        <v>518</v>
      </c>
      <c r="C14" s="9" t="str">
        <f>VLOOKUP(B14,'Soru Listesi'!A:C,3,0)</f>
      </c>
      <c r="D14" s="9">
        <f>VLOOKUP(B14,Veriler!A:B,2,0)</f>
      </c>
    </row>
    <row r="15" spans="1:5">
      <c r="B15" s="9" t="s">
        <v>519</v>
      </c>
      <c r="C15" s="9" t="str">
        <f>VLOOKUP(B15,'Soru Listesi'!A:C,3,0)</f>
      </c>
      <c r="D15" s="9">
        <f>VLOOKUP(B15,Veriler!A:B,2,0)</f>
      </c>
    </row>
    <row r="16" spans="1:5">
      <c r="B16" s="9" t="s">
        <v>520</v>
      </c>
      <c r="C16" s="9" t="str">
        <f>VLOOKUP(B16,'Soru Listesi'!A:C,3,0)</f>
      </c>
      <c r="D16" s="9">
        <f>VLOOKUP(B16,Veriler!A:B,2,0)</f>
      </c>
    </row>
    <row r="17" spans="2:4">
      <c r="B17" s="9" t="s">
        <v>521</v>
      </c>
      <c r="C17" s="9" t="str">
        <f>VLOOKUP(B17,'Soru Listesi'!A:C,3,0)</f>
      </c>
      <c r="D17" s="9">
        <f>VLOOKUP(B17,Veriler!A:B,2,0)</f>
      </c>
    </row>
    <row r="18" spans="2:4">
      <c r="B18" s="9" t="s">
        <v>522</v>
      </c>
      <c r="C18" s="9" t="str">
        <f>VLOOKUP(B18,'Soru Listesi'!A:C,3,0)</f>
      </c>
      <c r="D18" s="9">
        <f>VLOOKUP(B18,Veriler!A:B,2,0)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2:N27"/>
  <sheetViews>
    <sheetView zoomScale="70" zoomScaleNormal="70" workbookViewId="0">
      <selection activeCell="C2" sqref="C2:N23"/>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ayfa8">
    <pageSetUpPr fitToPage="1"/>
  </sheetPr>
  <dimension ref="A1:E19"/>
  <sheetViews>
    <sheetView zoomScale="70" zoomScaleNormal="70" workbookViewId="0">
      <selection activeCell="M8" sqref="M8"/>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43</v>
      </c>
      <c r="B3" s="7" t="str">
        <f>VLOOKUP(A3,'Soru Listesi'!A:G,3,0)</f>
      </c>
      <c r="C3" s="123" t="str">
        <f>VLOOKUP(A3,Veriler!A:D,4,0)</f>
      </c>
      <c r="D3" s="123" t="str">
        <f>VLOOKUP(A3,'Soru Listesi'!A:G,5,0)</f>
      </c>
      <c r="E3" s="90"/>
    </row>
    <row r="4" spans="1:5" ht="138" customHeight="1">
      <c r="A4" s="4" t="s">
        <v>49</v>
      </c>
      <c r="B4" s="7" t="str">
        <f>VLOOKUP(A4,'Soru Listesi'!A:G,3,0)</f>
      </c>
      <c r="C4" s="123" t="str">
        <f>VLOOKUP(A4,Veriler!A:D,4,0)</f>
      </c>
      <c r="D4" s="123" t="str">
        <f>VLOOKUP(A4,'Soru Listesi'!A:G,5,0)</f>
      </c>
      <c r="E4" s="90"/>
    </row>
    <row r="5" spans="1:5" ht="138" customHeight="1">
      <c r="A5" s="4" t="s">
        <v>51</v>
      </c>
      <c r="B5" s="7" t="str">
        <f>VLOOKUP(A5,'Soru Listesi'!A:G,3,0)</f>
      </c>
      <c r="C5" s="123" t="str">
        <f>VLOOKUP(A5,Veriler!A:D,4,0)</f>
      </c>
      <c r="D5" s="123" t="str">
        <f>VLOOKUP(A5,'Soru Listesi'!A:G,5,0)</f>
      </c>
      <c r="E5" s="90"/>
    </row>
    <row r="6" spans="1:5" ht="138" customHeight="1">
      <c r="A6" s="4" t="s">
        <v>52</v>
      </c>
      <c r="B6" s="7" t="str">
        <f>VLOOKUP(A6,'Soru Listesi'!A:G,3,0)</f>
      </c>
      <c r="C6" s="123" t="str">
        <f>VLOOKUP(A6,Veriler!A:D,4,0)</f>
      </c>
      <c r="D6" s="123" t="str">
        <f>VLOOKUP(A6,'Soru Listesi'!A:G,5,0)</f>
      </c>
      <c r="E6" s="90"/>
    </row>
    <row r="7" spans="1:5" ht="138" customHeight="1">
      <c r="A7" s="4" t="s">
        <v>55</v>
      </c>
      <c r="B7" s="7" t="str">
        <f>VLOOKUP(A7,'Soru Listesi'!A:G,3,0)</f>
      </c>
      <c r="C7" s="123" t="str">
        <f>VLOOKUP(A7,Veriler!A:D,4,0)</f>
      </c>
      <c r="D7" s="123" t="str">
        <f>VLOOKUP(A7,'Soru Listesi'!A:G,5,0)</f>
      </c>
      <c r="E7" s="90"/>
    </row>
    <row r="9" spans="1:5">
      <c r="C9" s="5"/>
    </row>
    <row r="10" spans="1:5">
      <c r="B10" s="10" t="s">
        <v>299</v>
      </c>
      <c r="C10" s="10" t="s">
        <v>9</v>
      </c>
      <c r="D10" s="10" t="s">
        <v>1</v>
      </c>
    </row>
    <row r="11" spans="1:5">
      <c r="B11" s="9" t="s">
        <v>43</v>
      </c>
      <c r="C11" s="9" t="str">
        <f>VLOOKUP(B11,'Soru Listesi'!A:C,3,0)</f>
      </c>
      <c r="D11" s="9">
        <f>VLOOKUP(B11,Veriler!A:B,2,0)</f>
      </c>
    </row>
    <row r="12" spans="1:5">
      <c r="B12" s="9" t="s">
        <v>49</v>
      </c>
      <c r="C12" s="9" t="str">
        <f>VLOOKUP(B12,'Soru Listesi'!A:C,3,0)</f>
      </c>
      <c r="D12" s="9">
        <f>VLOOKUP(B12,Veriler!A:B,2,0)</f>
      </c>
    </row>
    <row r="13" spans="1:5">
      <c r="B13" s="9" t="s">
        <v>51</v>
      </c>
      <c r="C13" s="9" t="str">
        <f>VLOOKUP(B13,'Soru Listesi'!A:C,3,0)</f>
      </c>
      <c r="D13" s="9">
        <f>VLOOKUP(B13,Veriler!A:B,2,0)</f>
      </c>
    </row>
    <row r="14" spans="1:5">
      <c r="B14" s="9" t="s">
        <v>52</v>
      </c>
      <c r="C14" s="9" t="str">
        <f>VLOOKUP(B14,'Soru Listesi'!A:C,3,0)</f>
      </c>
      <c r="D14" s="9">
        <f>VLOOKUP(B14,Veriler!A:B,2,0)</f>
      </c>
    </row>
    <row r="15" spans="1:5">
      <c r="B15" s="9" t="s">
        <v>55</v>
      </c>
      <c r="C15" s="9" t="str">
        <f>VLOOKUP(B15,'Soru Listesi'!A:C,3,0)</f>
      </c>
      <c r="D15" s="9">
        <f>VLOOKUP(B15,Veriler!A:B,2,0)</f>
      </c>
    </row>
    <row r="16" spans="1:5">
      <c r="B16" s="9" t="s">
        <v>523</v>
      </c>
      <c r="C16" s="9" t="str">
        <f>VLOOKUP(B16,'Soru Listesi'!A:C,3,0)</f>
      </c>
      <c r="D16" s="9">
        <f>VLOOKUP(B16,Veriler!A:B,2,0)</f>
      </c>
    </row>
    <row r="17" spans="2:4">
      <c r="B17" s="9" t="s">
        <v>524</v>
      </c>
      <c r="C17" s="9" t="str">
        <f>VLOOKUP(B17,'Soru Listesi'!A:C,3,0)</f>
      </c>
      <c r="D17" s="9">
        <f>VLOOKUP(B17,Veriler!A:B,2,0)</f>
      </c>
    </row>
    <row r="18" spans="2:4">
      <c r="B18" s="9" t="s">
        <v>525</v>
      </c>
      <c r="C18" s="9" t="str">
        <f>VLOOKUP(B18,'Soru Listesi'!A:C,3,0)</f>
      </c>
      <c r="D18" s="9">
        <f>VLOOKUP(B18,Veriler!A:B,2,0)</f>
      </c>
    </row>
    <row r="19" spans="2:4">
      <c r="B19" s="9" t="s">
        <v>526</v>
      </c>
      <c r="C19" s="9" t="str">
        <f>VLOOKUP(B19,'Soru Listesi'!A:C,3,0)</f>
      </c>
      <c r="D19" s="9">
        <f>VLOOKUP(B19,Veriler!A:B,2,0)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ayfa9">
    <pageSetUpPr fitToPage="1"/>
  </sheetPr>
  <dimension ref="A1:E19"/>
  <sheetViews>
    <sheetView zoomScale="70" zoomScaleNormal="70" workbookViewId="0">
      <selection activeCell="D6" sqref="D6"/>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523</v>
      </c>
      <c r="B3" s="7" t="str">
        <f>VLOOKUP(A3,'Soru Listesi'!A:G,3,0)</f>
      </c>
      <c r="C3" s="124" t="str">
        <f>VLOOKUP(A3,Veriler!A:D,4,0)</f>
      </c>
      <c r="D3" s="124" t="str">
        <f>VLOOKUP(A3,'Soru Listesi'!A:G,5,0)</f>
      </c>
      <c r="E3" s="90"/>
    </row>
    <row r="4" spans="1:5" ht="138" customHeight="1">
      <c r="A4" s="4" t="s">
        <v>524</v>
      </c>
      <c r="B4" s="7" t="str">
        <f>VLOOKUP(A4,'Soru Listesi'!A:G,3,0)</f>
      </c>
      <c r="C4" s="124" t="str">
        <f>VLOOKUP(A4,Veriler!A:D,4,0)</f>
      </c>
      <c r="D4" s="124" t="str">
        <f>VLOOKUP(A4,'Soru Listesi'!A:G,5,0)</f>
      </c>
      <c r="E4" s="90"/>
    </row>
    <row r="5" spans="1:5" ht="138" customHeight="1">
      <c r="A5" s="4" t="s">
        <v>525</v>
      </c>
      <c r="B5" s="7" t="str">
        <f>VLOOKUP(A5,'Soru Listesi'!A:G,3,0)</f>
      </c>
      <c r="C5" s="124" t="str">
        <f>VLOOKUP(A5,Veriler!A:D,4,0)</f>
      </c>
      <c r="D5" s="124" t="str">
        <f>VLOOKUP(A5,'Soru Listesi'!A:G,5,0)</f>
      </c>
      <c r="E5" s="90"/>
    </row>
    <row r="6" spans="1:5" ht="138" customHeight="1">
      <c r="A6" s="4" t="s">
        <v>526</v>
      </c>
      <c r="B6" s="7" t="str">
        <f>VLOOKUP(A6,'Soru Listesi'!A:G,3,0)</f>
      </c>
      <c r="C6" s="128" t="str">
        <f>VLOOKUP(A6,Veriler!A:D,4,0)</f>
      </c>
      <c r="D6" s="124" t="str">
        <f>VLOOKUP(A6,'Soru Listesi'!A:G,5,0)</f>
      </c>
      <c r="E6" s="92"/>
    </row>
    <row r="7" spans="1:5" ht="138" customHeight="1">
      <c r="A7" s="4"/>
      <c r="B7" s="14"/>
      <c r="C7" s="6"/>
      <c r="D7" s="13"/>
      <c r="E7" s="92"/>
    </row>
    <row r="9" spans="1:5">
      <c r="C9" s="5"/>
    </row>
    <row r="10" spans="1:5">
      <c r="B10" s="10" t="s">
        <v>299</v>
      </c>
      <c r="C10" s="10" t="s">
        <v>9</v>
      </c>
      <c r="D10" s="10" t="s">
        <v>1</v>
      </c>
    </row>
    <row r="11" spans="1:5">
      <c r="B11" s="9" t="s">
        <v>43</v>
      </c>
      <c r="C11" s="9" t="str">
        <f>VLOOKUP(B11,'Soru Listesi'!A:C,3,0)</f>
      </c>
      <c r="D11" s="9">
        <f>VLOOKUP(B11,Veriler!A:B,2,0)</f>
      </c>
    </row>
    <row r="12" spans="1:5">
      <c r="B12" s="9" t="s">
        <v>49</v>
      </c>
      <c r="C12" s="9" t="str">
        <f>VLOOKUP(B12,'Soru Listesi'!A:C,3,0)</f>
      </c>
      <c r="D12" s="9">
        <f>VLOOKUP(B12,Veriler!A:B,2,0)</f>
      </c>
    </row>
    <row r="13" spans="1:5">
      <c r="B13" s="9" t="s">
        <v>51</v>
      </c>
      <c r="C13" s="9" t="str">
        <f>VLOOKUP(B13,'Soru Listesi'!A:C,3,0)</f>
      </c>
      <c r="D13" s="9">
        <f>VLOOKUP(B13,Veriler!A:B,2,0)</f>
      </c>
    </row>
    <row r="14" spans="1:5">
      <c r="B14" s="9" t="s">
        <v>52</v>
      </c>
      <c r="C14" s="9" t="str">
        <f>VLOOKUP(B14,'Soru Listesi'!A:C,3,0)</f>
      </c>
      <c r="D14" s="9">
        <f>VLOOKUP(B14,Veriler!A:B,2,0)</f>
      </c>
    </row>
    <row r="15" spans="1:5">
      <c r="B15" s="9" t="s">
        <v>55</v>
      </c>
      <c r="C15" s="9" t="str">
        <f>VLOOKUP(B15,'Soru Listesi'!A:C,3,0)</f>
      </c>
      <c r="D15" s="9">
        <f>VLOOKUP(B15,Veriler!A:B,2,0)</f>
      </c>
    </row>
    <row r="16" spans="1:5">
      <c r="B16" s="9" t="s">
        <v>523</v>
      </c>
      <c r="C16" s="9" t="str">
        <f>VLOOKUP(B16,'Soru Listesi'!A:C,3,0)</f>
      </c>
      <c r="D16" s="9">
        <f>VLOOKUP(B16,Veriler!A:B,2,0)</f>
      </c>
    </row>
    <row r="17" spans="2:4">
      <c r="B17" s="9" t="s">
        <v>524</v>
      </c>
      <c r="C17" s="9" t="str">
        <f>VLOOKUP(B17,'Soru Listesi'!A:C,3,0)</f>
      </c>
      <c r="D17" s="9">
        <f>VLOOKUP(B17,Veriler!A:B,2,0)</f>
      </c>
    </row>
    <row r="18" spans="2:4">
      <c r="B18" s="9" t="s">
        <v>525</v>
      </c>
      <c r="C18" s="9" t="str">
        <f>VLOOKUP(B18,'Soru Listesi'!A:C,3,0)</f>
      </c>
      <c r="D18" s="9">
        <f>VLOOKUP(B18,Veriler!A:B,2,0)</f>
      </c>
    </row>
    <row r="19" spans="2:4">
      <c r="B19" s="9" t="s">
        <v>526</v>
      </c>
      <c r="C19" s="9" t="str">
        <f>VLOOKUP(B19,'Soru Listesi'!A:C,3,0)</f>
      </c>
      <c r="D19" s="9">
        <f>VLOOKUP(B19,Veriler!A:B,2,0)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2:N27"/>
  <sheetViews>
    <sheetView zoomScale="70" zoomScaleNormal="70" workbookViewId="0">
      <selection activeCell="K32" sqref="K32"/>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85" fitToHeight="0"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ayfa10">
    <pageSetUpPr fitToPage="1"/>
  </sheetPr>
  <dimension ref="A1:E22"/>
  <sheetViews>
    <sheetView zoomScale="70" zoomScaleNormal="70" workbookViewId="0">
      <selection activeCell="J5" sqref="J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57</v>
      </c>
      <c r="B3" s="7" t="str">
        <f>VLOOKUP(A3,'Soru Listesi'!A:G,3,0)</f>
      </c>
      <c r="C3" s="124" t="str">
        <f>VLOOKUP(A3,Veriler!A:D,4,0)</f>
      </c>
      <c r="D3" s="124" t="str">
        <f>VLOOKUP(A3,'Soru Listesi'!A:G,5,0)</f>
      </c>
      <c r="E3" s="90"/>
    </row>
    <row r="4" spans="1:5" ht="138" customHeight="1">
      <c r="A4" s="4" t="s">
        <v>61</v>
      </c>
      <c r="B4" s="7" t="str">
        <f>VLOOKUP(A4,'Soru Listesi'!A:G,3,0)</f>
      </c>
      <c r="C4" s="124" t="str">
        <f>VLOOKUP(A4,Veriler!A:D,4,0)</f>
      </c>
      <c r="D4" s="124" t="str">
        <f>VLOOKUP(A4,'Soru Listesi'!A:G,5,0)</f>
      </c>
      <c r="E4" s="90"/>
    </row>
    <row r="5" spans="1:5" ht="138" customHeight="1">
      <c r="A5" s="4" t="s">
        <v>63</v>
      </c>
      <c r="B5" s="7" t="str">
        <f>VLOOKUP(A5,'Soru Listesi'!A:G,3,0)</f>
      </c>
      <c r="C5" s="124" t="str">
        <f>VLOOKUP(A5,Veriler!A:D,4,0)</f>
      </c>
      <c r="D5" s="124" t="str">
        <f>VLOOKUP(A5,'Soru Listesi'!A:G,5,0)</f>
      </c>
      <c r="E5" s="90"/>
    </row>
    <row r="6" spans="1:5" ht="138" customHeight="1">
      <c r="A6" s="4" t="s">
        <v>65</v>
      </c>
      <c r="B6" s="7" t="str">
        <f>VLOOKUP(A6,'Soru Listesi'!A:G,3,0)</f>
      </c>
      <c r="C6" s="124" t="str">
        <f>VLOOKUP(A6,Veriler!A:D,4,0)</f>
      </c>
      <c r="D6" s="124" t="str">
        <f>VLOOKUP(A6,'Soru Listesi'!A:G,5,0)</f>
      </c>
      <c r="E6" s="90"/>
    </row>
    <row r="7" spans="1:5" ht="138" customHeight="1">
      <c r="A7" s="4" t="s">
        <v>67</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57</v>
      </c>
      <c r="C11" s="9" t="str">
        <f>VLOOKUP(B11,'Soru Listesi'!A:C,3,0)</f>
      </c>
      <c r="D11" s="9">
        <f>VLOOKUP(B11,Veriler!A:B,2,0)</f>
      </c>
    </row>
    <row r="12" spans="1:5">
      <c r="B12" s="9" t="s">
        <v>61</v>
      </c>
      <c r="C12" s="9" t="str">
        <f>VLOOKUP(B12,'Soru Listesi'!A:C,3,0)</f>
      </c>
      <c r="D12" s="9">
        <f>VLOOKUP(B12,Veriler!A:B,2,0)</f>
      </c>
    </row>
    <row r="13" spans="1:5">
      <c r="B13" s="9" t="s">
        <v>63</v>
      </c>
      <c r="C13" s="9" t="str">
        <f>VLOOKUP(B13,'Soru Listesi'!A:C,3,0)</f>
      </c>
      <c r="D13" s="9">
        <f>VLOOKUP(B13,Veriler!A:B,2,0)</f>
      </c>
    </row>
    <row r="14" spans="1:5">
      <c r="B14" s="9" t="s">
        <v>65</v>
      </c>
      <c r="C14" s="9" t="str">
        <f>VLOOKUP(B14,'Soru Listesi'!A:C,3,0)</f>
      </c>
      <c r="D14" s="9">
        <f>VLOOKUP(B14,Veriler!A:B,2,0)</f>
      </c>
    </row>
    <row r="15" spans="1:5">
      <c r="B15" s="9" t="s">
        <v>67</v>
      </c>
      <c r="C15" s="9" t="str">
        <f>VLOOKUP(B15,'Soru Listesi'!A:C,3,0)</f>
      </c>
      <c r="D15" s="9">
        <f>VLOOKUP(B15,Veriler!A:B,2,0)</f>
      </c>
    </row>
    <row r="16" spans="1:5">
      <c r="B16" s="9" t="s">
        <v>71</v>
      </c>
      <c r="C16" s="9" t="str">
        <f>VLOOKUP(B16,'Soru Listesi'!A:C,3,0)</f>
      </c>
      <c r="D16" s="9">
        <f>VLOOKUP(B16,Veriler!A:B,2,0)</f>
      </c>
    </row>
    <row r="17" spans="2:4">
      <c r="B17" s="9" t="s">
        <v>527</v>
      </c>
      <c r="C17" s="9" t="str">
        <f>VLOOKUP(B17,'Soru Listesi'!A:C,3,0)</f>
      </c>
      <c r="D17" s="9">
        <f>VLOOKUP(B17,Veriler!A:B,2,0)</f>
      </c>
    </row>
    <row r="18" spans="2:4">
      <c r="B18" s="9" t="s">
        <v>528</v>
      </c>
      <c r="C18" s="9" t="str">
        <f>VLOOKUP(B18,'Soru Listesi'!A:C,3,0)</f>
      </c>
      <c r="D18" s="9">
        <f>VLOOKUP(B18,Veriler!A:B,2,0)</f>
      </c>
    </row>
    <row r="19" spans="2:4">
      <c r="B19" s="9" t="s">
        <v>529</v>
      </c>
      <c r="C19" s="9" t="str">
        <f>VLOOKUP(B19,'Soru Listesi'!A:C,3,0)</f>
      </c>
      <c r="D19" s="9">
        <f>VLOOKUP(B19,Veriler!A:B,2,0)</f>
      </c>
    </row>
    <row r="20" spans="2:4">
      <c r="B20" s="9" t="s">
        <v>530</v>
      </c>
      <c r="C20" s="9" t="str">
        <f>VLOOKUP(B20,'Soru Listesi'!A:C,3,0)</f>
      </c>
      <c r="D20" s="9">
        <f>VLOOKUP(B20,Veriler!A:B,2,0)</f>
      </c>
    </row>
    <row r="21" spans="2:4">
      <c r="B21" s="9" t="s">
        <v>531</v>
      </c>
      <c r="C21" s="9" t="str">
        <f>VLOOKUP(B21,'Soru Listesi'!A:C,3,0)</f>
      </c>
      <c r="D21" s="9">
        <f>VLOOKUP(B21,Veriler!A:B,2,0)</f>
      </c>
    </row>
    <row r="22" spans="2:4">
      <c r="B22" s="9" t="s">
        <v>532</v>
      </c>
      <c r="C22" s="9" t="str">
        <f>VLOOKUP(B22,'Soru Listesi'!A:C,3,0)</f>
      </c>
      <c r="D22" s="9">
        <f>VLOOKUP(B22,Veriler!A:B,2,0)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ayfa11">
    <pageSetUpPr fitToPage="1"/>
  </sheetPr>
  <dimension ref="A1:E22"/>
  <sheetViews>
    <sheetView zoomScale="70" zoomScaleNormal="70" workbookViewId="0">
      <selection activeCell="L6" sqref="L6"/>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71</v>
      </c>
      <c r="B3" s="7" t="str">
        <f>VLOOKUP(A3,'Soru Listesi'!A:G,3,0)</f>
      </c>
      <c r="C3" s="124" t="str">
        <f>VLOOKUP(A3,Veriler!A:D,4,0)</f>
      </c>
      <c r="D3" s="124" t="str">
        <f>VLOOKUP(A3,'Soru Listesi'!A:G,5,0)</f>
      </c>
      <c r="E3" s="90"/>
    </row>
    <row r="4" spans="1:5" ht="138" customHeight="1">
      <c r="A4" s="4" t="s">
        <v>527</v>
      </c>
      <c r="B4" s="7" t="str">
        <f>VLOOKUP(A4,'Soru Listesi'!A:G,3,0)</f>
      </c>
      <c r="C4" s="124" t="str">
        <f>VLOOKUP(A4,Veriler!A:D,4,0)</f>
      </c>
      <c r="D4" s="124" t="str">
        <f>VLOOKUP(A4,'Soru Listesi'!A:G,5,0)</f>
      </c>
      <c r="E4" s="90"/>
    </row>
    <row r="5" spans="1:5" ht="138" customHeight="1">
      <c r="A5" s="4" t="s">
        <v>528</v>
      </c>
      <c r="B5" s="7" t="str">
        <f>VLOOKUP(A5,'Soru Listesi'!A:G,3,0)</f>
      </c>
      <c r="C5" s="124" t="str">
        <f>VLOOKUP(A5,Veriler!A:D,4,0)</f>
      </c>
      <c r="D5" s="124" t="str">
        <f>VLOOKUP(A5,'Soru Listesi'!A:G,5,0)</f>
      </c>
      <c r="E5" s="90"/>
    </row>
    <row r="6" spans="1:5" ht="138" customHeight="1">
      <c r="A6" s="4" t="s">
        <v>529</v>
      </c>
      <c r="B6" s="7" t="str">
        <f>VLOOKUP(A6,'Soru Listesi'!A:G,3,0)</f>
      </c>
      <c r="C6" s="124" t="str">
        <f>VLOOKUP(A6,Veriler!A:D,4,0)</f>
      </c>
      <c r="D6" s="124" t="str">
        <f>VLOOKUP(A6,'Soru Listesi'!A:G,5,0)</f>
      </c>
      <c r="E6" s="90"/>
    </row>
    <row r="7" spans="1:5" ht="138" customHeight="1">
      <c r="A7" s="4" t="s">
        <v>530</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57</v>
      </c>
      <c r="C11" s="9" t="str">
        <f>VLOOKUP(B11,'Soru Listesi'!A:C,3,0)</f>
      </c>
      <c r="D11" s="9">
        <f>VLOOKUP(B11,Veriler!A:B,2,0)</f>
      </c>
    </row>
    <row r="12" spans="1:5">
      <c r="B12" s="9" t="s">
        <v>61</v>
      </c>
      <c r="C12" s="9" t="str">
        <f>VLOOKUP(B12,'Soru Listesi'!A:C,3,0)</f>
      </c>
      <c r="D12" s="9">
        <f>VLOOKUP(B12,Veriler!A:B,2,0)</f>
      </c>
    </row>
    <row r="13" spans="1:5">
      <c r="B13" s="9" t="s">
        <v>63</v>
      </c>
      <c r="C13" s="9" t="str">
        <f>VLOOKUP(B13,'Soru Listesi'!A:C,3,0)</f>
      </c>
      <c r="D13" s="9">
        <f>VLOOKUP(B13,Veriler!A:B,2,0)</f>
      </c>
    </row>
    <row r="14" spans="1:5">
      <c r="B14" s="9" t="s">
        <v>65</v>
      </c>
      <c r="C14" s="9" t="str">
        <f>VLOOKUP(B14,'Soru Listesi'!A:C,3,0)</f>
      </c>
      <c r="D14" s="9">
        <f>VLOOKUP(B14,Veriler!A:B,2,0)</f>
      </c>
    </row>
    <row r="15" spans="1:5">
      <c r="B15" s="9" t="s">
        <v>67</v>
      </c>
      <c r="C15" s="9" t="str">
        <f>VLOOKUP(B15,'Soru Listesi'!A:C,3,0)</f>
      </c>
      <c r="D15" s="9">
        <f>VLOOKUP(B15,Veriler!A:B,2,0)</f>
      </c>
    </row>
    <row r="16" spans="1:5">
      <c r="B16" s="9" t="s">
        <v>71</v>
      </c>
      <c r="C16" s="9" t="str">
        <f>VLOOKUP(B16,'Soru Listesi'!A:C,3,0)</f>
      </c>
      <c r="D16" s="9">
        <f>VLOOKUP(B16,Veriler!A:B,2,0)</f>
      </c>
    </row>
    <row r="17" spans="2:4">
      <c r="B17" s="9" t="s">
        <v>527</v>
      </c>
      <c r="C17" s="9" t="str">
        <f>VLOOKUP(B17,'Soru Listesi'!A:C,3,0)</f>
      </c>
      <c r="D17" s="9">
        <f>VLOOKUP(B17,Veriler!A:B,2,0)</f>
      </c>
    </row>
    <row r="18" spans="2:4">
      <c r="B18" s="9" t="s">
        <v>528</v>
      </c>
      <c r="C18" s="9" t="str">
        <f>VLOOKUP(B18,'Soru Listesi'!A:C,3,0)</f>
      </c>
      <c r="D18" s="9">
        <f>VLOOKUP(B18,Veriler!A:B,2,0)</f>
      </c>
    </row>
    <row r="19" spans="2:4">
      <c r="B19" s="9" t="s">
        <v>529</v>
      </c>
      <c r="C19" s="9" t="str">
        <f>VLOOKUP(B19,'Soru Listesi'!A:C,3,0)</f>
      </c>
      <c r="D19" s="9">
        <f>VLOOKUP(B19,Veriler!A:B,2,0)</f>
      </c>
    </row>
    <row r="20" spans="2:4">
      <c r="B20" s="9" t="s">
        <v>530</v>
      </c>
      <c r="C20" s="9" t="str">
        <f>VLOOKUP(B20,'Soru Listesi'!A:C,3,0)</f>
      </c>
      <c r="D20" s="9">
        <f>VLOOKUP(B20,Veriler!A:B,2,0)</f>
      </c>
    </row>
    <row r="21" spans="2:4">
      <c r="B21" s="9" t="s">
        <v>531</v>
      </c>
      <c r="C21" s="9" t="str">
        <f>VLOOKUP(B21,'Soru Listesi'!A:C,3,0)</f>
      </c>
      <c r="D21" s="9">
        <f>VLOOKUP(B21,Veriler!A:B,2,0)</f>
      </c>
    </row>
    <row r="22" spans="2:4">
      <c r="B22" s="9" t="s">
        <v>532</v>
      </c>
      <c r="C22" s="9" t="str">
        <f>VLOOKUP(B22,'Soru Listesi'!A:C,3,0)</f>
      </c>
      <c r="D22" s="9">
        <f>VLOOKUP(B22,Veriler!A:B,2,0)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ayfa12">
    <pageSetUpPr fitToPage="1"/>
  </sheetPr>
  <dimension ref="A1:E22"/>
  <sheetViews>
    <sheetView zoomScale="70" zoomScaleNormal="70" workbookViewId="0">
      <selection activeCell="L5" sqref="L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531</v>
      </c>
      <c r="B3" s="7" t="str">
        <f>VLOOKUP(A3,'Soru Listesi'!A:G,3,0)</f>
      </c>
      <c r="C3" s="128" t="str">
        <f>VLOOKUP(A3,Veriler!A:D,4,0)</f>
      </c>
      <c r="D3" s="124" t="str">
        <f>VLOOKUP(A3,'Soru Listesi'!A:G,5,0)</f>
      </c>
      <c r="E3" s="90"/>
    </row>
    <row r="4" spans="1:5" ht="138" customHeight="1">
      <c r="A4" s="4" t="s">
        <v>532</v>
      </c>
      <c r="B4" s="7" t="str">
        <f>VLOOKUP(A4,'Soru Listesi'!A:G,3,0)</f>
      </c>
      <c r="C4" s="124" t="str">
        <f>VLOOKUP(A4,Veriler!A:D,4,0)</f>
      </c>
      <c r="D4" s="124" t="str">
        <f>VLOOKUP(A4,'Soru Listesi'!A:G,5,0)</f>
      </c>
      <c r="E4" s="90"/>
    </row>
    <row r="5" spans="1:5" ht="138" customHeight="1">
      <c r="A5" s="4"/>
      <c r="B5" s="16"/>
      <c r="C5" s="6"/>
      <c r="D5" s="6"/>
      <c r="E5" s="92"/>
    </row>
    <row r="6" spans="1:5" ht="138" customHeight="1">
      <c r="A6" s="4"/>
      <c r="B6" s="16"/>
      <c r="C6" s="6"/>
      <c r="D6" s="6"/>
      <c r="E6" s="92"/>
    </row>
    <row r="7" spans="1:5" ht="138" customHeight="1">
      <c r="A7" s="4"/>
      <c r="B7" s="14"/>
      <c r="C7" s="6"/>
      <c r="D7" s="6"/>
      <c r="E7" s="92"/>
    </row>
    <row r="9" spans="1:5">
      <c r="C9" s="5"/>
    </row>
    <row r="10" spans="1:5">
      <c r="B10" s="10" t="s">
        <v>299</v>
      </c>
      <c r="C10" s="10" t="s">
        <v>9</v>
      </c>
      <c r="D10" s="10" t="s">
        <v>1</v>
      </c>
    </row>
    <row r="11" spans="1:5">
      <c r="B11" s="9" t="s">
        <v>57</v>
      </c>
      <c r="C11" s="9" t="str">
        <f>VLOOKUP(B11,'Soru Listesi'!A:C,3,0)</f>
      </c>
      <c r="D11" s="9">
        <f>VLOOKUP(B11,Veriler!A:B,2,0)</f>
      </c>
    </row>
    <row r="12" spans="1:5">
      <c r="B12" s="9" t="s">
        <v>61</v>
      </c>
      <c r="C12" s="9" t="str">
        <f>VLOOKUP(B12,'Soru Listesi'!A:C,3,0)</f>
      </c>
      <c r="D12" s="9">
        <f>VLOOKUP(B12,Veriler!A:B,2,0)</f>
      </c>
    </row>
    <row r="13" spans="1:5">
      <c r="B13" s="9" t="s">
        <v>63</v>
      </c>
      <c r="C13" s="9" t="str">
        <f>VLOOKUP(B13,'Soru Listesi'!A:C,3,0)</f>
      </c>
      <c r="D13" s="9">
        <f>VLOOKUP(B13,Veriler!A:B,2,0)</f>
      </c>
    </row>
    <row r="14" spans="1:5">
      <c r="B14" s="9" t="s">
        <v>65</v>
      </c>
      <c r="C14" s="9" t="str">
        <f>VLOOKUP(B14,'Soru Listesi'!A:C,3,0)</f>
      </c>
      <c r="D14" s="9">
        <f>VLOOKUP(B14,Veriler!A:B,2,0)</f>
      </c>
    </row>
    <row r="15" spans="1:5">
      <c r="B15" s="9" t="s">
        <v>67</v>
      </c>
      <c r="C15" s="9" t="str">
        <f>VLOOKUP(B15,'Soru Listesi'!A:C,3,0)</f>
      </c>
      <c r="D15" s="9">
        <f>VLOOKUP(B15,Veriler!A:B,2,0)</f>
      </c>
    </row>
    <row r="16" spans="1:5">
      <c r="B16" s="9" t="s">
        <v>71</v>
      </c>
      <c r="C16" s="9" t="str">
        <f>VLOOKUP(B16,'Soru Listesi'!A:C,3,0)</f>
      </c>
      <c r="D16" s="9">
        <f>VLOOKUP(B16,Veriler!A:B,2,0)</f>
      </c>
    </row>
    <row r="17" spans="2:4">
      <c r="B17" s="9" t="s">
        <v>527</v>
      </c>
      <c r="C17" s="9" t="str">
        <f>VLOOKUP(B17,'Soru Listesi'!A:C,3,0)</f>
      </c>
      <c r="D17" s="9">
        <f>VLOOKUP(B17,Veriler!A:B,2,0)</f>
      </c>
    </row>
    <row r="18" spans="2:4">
      <c r="B18" s="9" t="s">
        <v>528</v>
      </c>
      <c r="C18" s="9" t="str">
        <f>VLOOKUP(B18,'Soru Listesi'!A:C,3,0)</f>
      </c>
      <c r="D18" s="9">
        <f>VLOOKUP(B18,Veriler!A:B,2,0)</f>
      </c>
    </row>
    <row r="19" spans="2:4">
      <c r="B19" s="9" t="s">
        <v>529</v>
      </c>
      <c r="C19" s="9" t="str">
        <f>VLOOKUP(B19,'Soru Listesi'!A:C,3,0)</f>
      </c>
      <c r="D19" s="9">
        <f>VLOOKUP(B19,Veriler!A:B,2,0)</f>
      </c>
    </row>
    <row r="20" spans="2:4">
      <c r="B20" s="9" t="s">
        <v>530</v>
      </c>
      <c r="C20" s="9" t="str">
        <f>VLOOKUP(B20,'Soru Listesi'!A:C,3,0)</f>
      </c>
      <c r="D20" s="9">
        <f>VLOOKUP(B20,Veriler!A:B,2,0)</f>
      </c>
    </row>
    <row r="21" spans="2:4">
      <c r="B21" s="9" t="s">
        <v>531</v>
      </c>
      <c r="C21" s="9" t="str">
        <f>VLOOKUP(B21,'Soru Listesi'!A:C,3,0)</f>
      </c>
      <c r="D21" s="9">
        <f>VLOOKUP(B21,Veriler!A:B,2,0)</f>
      </c>
    </row>
    <row r="22" spans="2:4">
      <c r="B22" s="9" t="s">
        <v>532</v>
      </c>
      <c r="C22" s="9" t="str">
        <f>VLOOKUP(B22,'Soru Listesi'!A:C,3,0)</f>
      </c>
      <c r="D22" s="9">
        <f>VLOOKUP(B22,Veriler!A:B,2,0)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2:N27"/>
  <sheetViews>
    <sheetView zoomScale="70" zoomScaleNormal="70" workbookViewId="0">
      <selection activeCell="C2" sqref="C2:N23"/>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ayfa13">
    <pageSetUpPr fitToPage="1"/>
  </sheetPr>
  <dimension ref="A1:E19"/>
  <sheetViews>
    <sheetView zoomScale="70" zoomScaleNormal="70" workbookViewId="0">
      <selection activeCell="J7" sqref="J7"/>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75</v>
      </c>
      <c r="B3" s="7" t="str">
        <f>VLOOKUP(A3,'Soru Listesi'!A:G,3,0)</f>
      </c>
      <c r="C3" s="124" t="str">
        <f>VLOOKUP(A3,Veriler!A:D,4,0)</f>
      </c>
      <c r="D3" s="124" t="str">
        <f>VLOOKUP(A3,'Soru Listesi'!A:G,5,0)</f>
      </c>
      <c r="E3" s="90"/>
    </row>
    <row r="4" spans="1:5" ht="138" customHeight="1">
      <c r="A4" s="4" t="s">
        <v>78</v>
      </c>
      <c r="B4" s="7" t="str">
        <f>VLOOKUP(A4,'Soru Listesi'!A:G,3,0)</f>
      </c>
      <c r="C4" s="124" t="str">
        <f>VLOOKUP(A4,Veriler!A:D,4,0)</f>
      </c>
      <c r="D4" s="124" t="str">
        <f>VLOOKUP(A4,'Soru Listesi'!A:G,5,0)</f>
      </c>
      <c r="E4" s="90"/>
    </row>
    <row r="5" spans="1:5" ht="138" customHeight="1">
      <c r="A5" s="4" t="s">
        <v>80</v>
      </c>
      <c r="B5" s="7" t="str">
        <f>VLOOKUP(A5,'Soru Listesi'!A:G,3,0)</f>
      </c>
      <c r="C5" s="124" t="str">
        <f>VLOOKUP(A5,Veriler!A:D,4,0)</f>
      </c>
      <c r="D5" s="124" t="str">
        <f>VLOOKUP(A5,'Soru Listesi'!A:G,5,0)</f>
      </c>
      <c r="E5" s="90"/>
    </row>
    <row r="6" spans="1:5" ht="138" customHeight="1">
      <c r="A6" s="4" t="s">
        <v>533</v>
      </c>
      <c r="B6" s="7" t="str">
        <f>VLOOKUP(A6,'Soru Listesi'!A:G,3,0)</f>
      </c>
      <c r="C6" s="124" t="str">
        <f>VLOOKUP(A6,Veriler!A:D,4,0)</f>
      </c>
      <c r="D6" s="124" t="str">
        <f>VLOOKUP(A6,'Soru Listesi'!A:G,5,0)</f>
      </c>
      <c r="E6" s="90"/>
    </row>
    <row r="7" spans="1:5" ht="138" customHeight="1">
      <c r="A7" s="4" t="s">
        <v>534</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75</v>
      </c>
      <c r="C11" s="9" t="str">
        <f>VLOOKUP(B11,'Soru Listesi'!A:C,3,0)</f>
      </c>
      <c r="D11" s="9">
        <f>VLOOKUP(B11,Veriler!A:B,2,0)</f>
      </c>
    </row>
    <row r="12" spans="1:5">
      <c r="B12" s="9" t="s">
        <v>78</v>
      </c>
      <c r="C12" s="9" t="str">
        <f>VLOOKUP(B12,'Soru Listesi'!A:C,3,0)</f>
      </c>
      <c r="D12" s="9">
        <f>VLOOKUP(B12,Veriler!A:B,2,0)</f>
      </c>
    </row>
    <row r="13" spans="1:5">
      <c r="B13" s="9" t="s">
        <v>80</v>
      </c>
      <c r="C13" s="9" t="str">
        <f>VLOOKUP(B13,'Soru Listesi'!A:C,3,0)</f>
      </c>
      <c r="D13" s="9">
        <f>VLOOKUP(B13,Veriler!A:B,2,0)</f>
      </c>
    </row>
    <row r="14" spans="1:5">
      <c r="B14" s="9" t="s">
        <v>533</v>
      </c>
      <c r="C14" s="9" t="str">
        <f>VLOOKUP(B14,'Soru Listesi'!A:C,3,0)</f>
      </c>
      <c r="D14" s="9">
        <f>VLOOKUP(B14,Veriler!A:B,2,0)</f>
      </c>
    </row>
    <row r="15" spans="1:5">
      <c r="B15" s="9" t="s">
        <v>534</v>
      </c>
      <c r="C15" s="9" t="str">
        <f>VLOOKUP(B15,'Soru Listesi'!A:C,3,0)</f>
      </c>
      <c r="D15" s="9">
        <f>VLOOKUP(B15,Veriler!A:B,2,0)</f>
      </c>
    </row>
    <row r="16" spans="1:5">
      <c r="B16" s="9" t="s">
        <v>535</v>
      </c>
      <c r="C16" s="9" t="str">
        <f>VLOOKUP(B16,'Soru Listesi'!A:C,3,0)</f>
      </c>
      <c r="D16" s="9">
        <f>VLOOKUP(B16,Veriler!A:B,2,0)</f>
      </c>
    </row>
    <row r="17" spans="2:4">
      <c r="B17" s="9" t="s">
        <v>536</v>
      </c>
      <c r="C17" s="9" t="str">
        <f>VLOOKUP(B17,'Soru Listesi'!A:C,3,0)</f>
      </c>
      <c r="D17" s="9">
        <f>VLOOKUP(B17,Veriler!A:B,2,0)</f>
      </c>
    </row>
    <row r="18" spans="2:4">
      <c r="B18" s="9" t="s">
        <v>537</v>
      </c>
      <c r="C18" s="9" t="str">
        <f>VLOOKUP(B18,'Soru Listesi'!A:C,3,0)</f>
      </c>
      <c r="D18" s="9">
        <f>VLOOKUP(B18,Veriler!A:B,2,0)</f>
      </c>
    </row>
    <row r="19" spans="2:4">
      <c r="B19" s="9" t="s">
        <v>538</v>
      </c>
      <c r="C19" s="9" t="str">
        <f>VLOOKUP(B19,'Soru Listesi'!A:C,3,0)</f>
      </c>
      <c r="D19" s="9">
        <f>VLOOKUP(B19,Veriler!A:B,2,0)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ayfa14">
    <pageSetUpPr fitToPage="1"/>
  </sheetPr>
  <dimension ref="A1:E19"/>
  <sheetViews>
    <sheetView zoomScale="70" zoomScaleNormal="70" workbookViewId="0">
      <selection activeCell="K5" sqref="K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535</v>
      </c>
      <c r="B3" s="7" t="str">
        <f>VLOOKUP(A3,'Soru Listesi'!A:G,3,0)</f>
      </c>
      <c r="C3" s="124" t="str">
        <f>VLOOKUP(A3,Veriler!A:D,4,0)</f>
      </c>
      <c r="D3" s="124" t="str">
        <f>VLOOKUP(A3,'Soru Listesi'!A:G,5,0)</f>
      </c>
      <c r="E3" s="90"/>
    </row>
    <row r="4" spans="1:5" ht="138" customHeight="1">
      <c r="A4" s="4" t="s">
        <v>536</v>
      </c>
      <c r="B4" s="7" t="str">
        <f>VLOOKUP(A4,'Soru Listesi'!A:G,3,0)</f>
      </c>
      <c r="C4" s="124" t="str">
        <f>VLOOKUP(A4,Veriler!A:D,4,0)</f>
      </c>
      <c r="D4" s="124" t="str">
        <f>VLOOKUP(A4,'Soru Listesi'!A:G,5,0)</f>
      </c>
      <c r="E4" s="90"/>
    </row>
    <row r="5" spans="1:5" ht="138" customHeight="1">
      <c r="A5" s="4" t="s">
        <v>537</v>
      </c>
      <c r="B5" s="7" t="str">
        <f>VLOOKUP(A5,'Soru Listesi'!A:G,3,0)</f>
      </c>
      <c r="C5" s="124" t="str">
        <f>VLOOKUP(A5,Veriler!A:D,4,0)</f>
      </c>
      <c r="D5" s="124" t="str">
        <f>VLOOKUP(A5,'Soru Listesi'!A:G,5,0)</f>
      </c>
      <c r="E5" s="90"/>
    </row>
    <row r="6" spans="1:5" ht="138" customHeight="1">
      <c r="A6" s="4" t="s">
        <v>538</v>
      </c>
      <c r="B6" s="7" t="str">
        <f>VLOOKUP(A6,'Soru Listesi'!A:G,3,0)</f>
      </c>
      <c r="C6" s="124" t="str">
        <f>VLOOKUP(A6,Veriler!A:D,4,0)</f>
      </c>
      <c r="D6" s="124" t="str">
        <f>VLOOKUP(A6,'Soru Listesi'!A:G,5,0)</f>
      </c>
      <c r="E6" s="90"/>
    </row>
    <row r="7" spans="1:5" ht="138" customHeight="1">
      <c r="A7" s="4"/>
      <c r="B7" s="7"/>
      <c r="C7" s="6"/>
      <c r="D7" s="15"/>
      <c r="E7" s="92"/>
    </row>
    <row r="9" spans="1:5">
      <c r="C9" s="5"/>
    </row>
    <row r="10" spans="1:5">
      <c r="B10" s="10" t="s">
        <v>299</v>
      </c>
      <c r="C10" s="10" t="s">
        <v>9</v>
      </c>
      <c r="D10" s="10" t="s">
        <v>1</v>
      </c>
    </row>
    <row r="11" spans="1:5">
      <c r="B11" s="9" t="s">
        <v>75</v>
      </c>
      <c r="C11" s="9" t="str">
        <f>VLOOKUP(B11,'Soru Listesi'!A:C,3,0)</f>
      </c>
      <c r="D11" s="9">
        <f>VLOOKUP(B11,Veriler!A:B,2,0)</f>
      </c>
    </row>
    <row r="12" spans="1:5">
      <c r="B12" s="9" t="s">
        <v>78</v>
      </c>
      <c r="C12" s="9" t="str">
        <f>VLOOKUP(B12,'Soru Listesi'!A:C,3,0)</f>
      </c>
      <c r="D12" s="9">
        <f>VLOOKUP(B12,Veriler!A:B,2,0)</f>
      </c>
    </row>
    <row r="13" spans="1:5">
      <c r="B13" s="9" t="s">
        <v>80</v>
      </c>
      <c r="C13" s="9" t="str">
        <f>VLOOKUP(B13,'Soru Listesi'!A:C,3,0)</f>
      </c>
      <c r="D13" s="9">
        <f>VLOOKUP(B13,Veriler!A:B,2,0)</f>
      </c>
    </row>
    <row r="14" spans="1:5">
      <c r="B14" s="9" t="s">
        <v>533</v>
      </c>
      <c r="C14" s="9" t="str">
        <f>VLOOKUP(B14,'Soru Listesi'!A:C,3,0)</f>
      </c>
      <c r="D14" s="9">
        <f>VLOOKUP(B14,Veriler!A:B,2,0)</f>
      </c>
    </row>
    <row r="15" spans="1:5">
      <c r="B15" s="9" t="s">
        <v>534</v>
      </c>
      <c r="C15" s="9" t="str">
        <f>VLOOKUP(B15,'Soru Listesi'!A:C,3,0)</f>
      </c>
      <c r="D15" s="9">
        <f>VLOOKUP(B15,Veriler!A:B,2,0)</f>
      </c>
    </row>
    <row r="16" spans="1:5">
      <c r="B16" s="9" t="s">
        <v>535</v>
      </c>
      <c r="C16" s="9" t="str">
        <f>VLOOKUP(B16,'Soru Listesi'!A:C,3,0)</f>
      </c>
      <c r="D16" s="9">
        <f>VLOOKUP(B16,Veriler!A:B,2,0)</f>
      </c>
    </row>
    <row r="17" spans="2:4">
      <c r="B17" s="9" t="s">
        <v>536</v>
      </c>
      <c r="C17" s="9" t="str">
        <f>VLOOKUP(B17,'Soru Listesi'!A:C,3,0)</f>
      </c>
      <c r="D17" s="9">
        <f>VLOOKUP(B17,Veriler!A:B,2,0)</f>
      </c>
    </row>
    <row r="18" spans="2:4">
      <c r="B18" s="9" t="s">
        <v>537</v>
      </c>
      <c r="C18" s="9" t="str">
        <f>VLOOKUP(B18,'Soru Listesi'!A:C,3,0)</f>
      </c>
      <c r="D18" s="9">
        <f>VLOOKUP(B18,Veriler!A:B,2,0)</f>
      </c>
    </row>
    <row r="19" spans="2:4">
      <c r="B19" s="9" t="s">
        <v>538</v>
      </c>
      <c r="C19" s="9" t="str">
        <f>VLOOKUP(B19,'Soru Listesi'!A:C,3,0)</f>
      </c>
      <c r="D19" s="9">
        <f>VLOOKUP(B19,Veriler!A:B,2,0)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B2:N27"/>
  <sheetViews>
    <sheetView zoomScale="70" zoomScaleNormal="70" workbookViewId="0">
      <selection activeCell="C2" sqref="C2:N23"/>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ayfa15">
    <pageSetUpPr fitToPage="1"/>
  </sheetPr>
  <dimension ref="A1:E18"/>
  <sheetViews>
    <sheetView zoomScale="70" zoomScaleNormal="70" workbookViewId="0">
      <selection activeCell="N5" sqref="N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84</v>
      </c>
      <c r="B3" s="7" t="str">
        <f>VLOOKUP(A3,'Soru Listesi'!A:G,3,0)</f>
      </c>
      <c r="C3" s="124" t="str">
        <f>VLOOKUP(A3,Veriler!A:D,4,0)</f>
      </c>
      <c r="D3" s="124" t="str">
        <f>VLOOKUP(A3,'Soru Listesi'!A:G,5,0)</f>
      </c>
      <c r="E3" s="90"/>
    </row>
    <row r="4" spans="1:5" ht="138" customHeight="1">
      <c r="A4" s="4" t="s">
        <v>88</v>
      </c>
      <c r="B4" s="7" t="str">
        <f>VLOOKUP(A4,'Soru Listesi'!A:G,3,0)</f>
      </c>
      <c r="C4" s="124" t="str">
        <f>VLOOKUP(A4,Veriler!A:D,4,0)</f>
      </c>
      <c r="D4" s="124" t="str">
        <f>VLOOKUP(A4,'Soru Listesi'!A:G,5,0)</f>
      </c>
      <c r="E4" s="90"/>
    </row>
    <row r="5" spans="1:5" ht="138" customHeight="1">
      <c r="A5" s="4" t="s">
        <v>539</v>
      </c>
      <c r="B5" s="7" t="str">
        <f>VLOOKUP(A5,'Soru Listesi'!A:G,3,0)</f>
      </c>
      <c r="C5" s="124" t="str">
        <f>VLOOKUP(A5,Veriler!A:D,4,0)</f>
      </c>
      <c r="D5" s="124" t="str">
        <f>VLOOKUP(A5,'Soru Listesi'!A:G,5,0)</f>
      </c>
      <c r="E5" s="90"/>
    </row>
    <row r="6" spans="1:5" ht="138" customHeight="1">
      <c r="A6" s="4" t="s">
        <v>540</v>
      </c>
      <c r="B6" s="7" t="str">
        <f>VLOOKUP(A6,'Soru Listesi'!A:G,3,0)</f>
      </c>
      <c r="C6" s="124" t="str">
        <f>VLOOKUP(A6,Veriler!A:D,4,0)</f>
      </c>
      <c r="D6" s="124" t="str">
        <f>VLOOKUP(A6,'Soru Listesi'!A:G,5,0)</f>
      </c>
      <c r="E6" s="90"/>
    </row>
    <row r="7" spans="1:5" ht="138" customHeight="1">
      <c r="A7" s="4" t="s">
        <v>541</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84</v>
      </c>
      <c r="C11" s="9" t="str">
        <f>VLOOKUP(B11,'Soru Listesi'!A:C,3,0)</f>
      </c>
      <c r="D11" s="9">
        <f>VLOOKUP(B11,Veriler!A:B,2,0)</f>
      </c>
    </row>
    <row r="12" spans="1:5">
      <c r="B12" s="9" t="s">
        <v>88</v>
      </c>
      <c r="C12" s="9" t="str">
        <f>VLOOKUP(B12,'Soru Listesi'!A:C,3,0)</f>
      </c>
      <c r="D12" s="9">
        <f>VLOOKUP(B12,Veriler!A:B,2,0)</f>
      </c>
    </row>
    <row r="13" spans="1:5">
      <c r="B13" s="9" t="s">
        <v>539</v>
      </c>
      <c r="C13" s="9" t="str">
        <f>VLOOKUP(B13,'Soru Listesi'!A:C,3,0)</f>
      </c>
      <c r="D13" s="9">
        <f>VLOOKUP(B13,Veriler!A:B,2,0)</f>
      </c>
    </row>
    <row r="14" spans="1:5">
      <c r="B14" s="9" t="s">
        <v>540</v>
      </c>
      <c r="C14" s="9" t="str">
        <f>VLOOKUP(B14,'Soru Listesi'!A:C,3,0)</f>
      </c>
      <c r="D14" s="9">
        <f>VLOOKUP(B14,Veriler!A:B,2,0)</f>
      </c>
    </row>
    <row r="15" spans="1:5">
      <c r="B15" s="9" t="s">
        <v>541</v>
      </c>
      <c r="C15" s="9" t="str">
        <f>VLOOKUP(B15,'Soru Listesi'!A:C,3,0)</f>
      </c>
      <c r="D15" s="9">
        <f>VLOOKUP(B15,Veriler!A:B,2,0)</f>
      </c>
    </row>
    <row r="16" spans="1:5">
      <c r="B16" s="9" t="s">
        <v>542</v>
      </c>
      <c r="C16" s="9" t="str">
        <f>VLOOKUP(B16,'Soru Listesi'!A:C,3,0)</f>
      </c>
      <c r="D16" s="9">
        <f>VLOOKUP(B16,Veriler!A:B,2,0)</f>
      </c>
    </row>
    <row r="17" spans="2:4">
      <c r="B17" s="9" t="s">
        <v>543</v>
      </c>
      <c r="C17" s="9" t="str">
        <f>VLOOKUP(B17,'Soru Listesi'!A:C,3,0)</f>
      </c>
      <c r="D17" s="9">
        <f>VLOOKUP(B17,Veriler!A:B,2,0)</f>
      </c>
    </row>
    <row r="18" spans="2:4">
      <c r="B18" s="9" t="s">
        <v>544</v>
      </c>
      <c r="C18" s="9" t="str">
        <f>VLOOKUP(B18,'Soru Listesi'!A:C,3,0)</f>
      </c>
      <c r="D18" s="9">
        <f>VLOOKUP(B18,Veriler!A:B,2,0)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ayfa16">
    <pageSetUpPr fitToPage="1"/>
  </sheetPr>
  <dimension ref="A1:E18"/>
  <sheetViews>
    <sheetView zoomScale="70" zoomScaleNormal="70" workbookViewId="0">
      <selection activeCell="M5" sqref="M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542</v>
      </c>
      <c r="B3" s="7" t="str">
        <f>VLOOKUP(A3,'Soru Listesi'!A:G,3,0)</f>
      </c>
      <c r="C3" s="124" t="str">
        <f>VLOOKUP(A3,Veriler!A:D,4,0)</f>
      </c>
      <c r="D3" s="124" t="str">
        <f>VLOOKUP(A3,'Soru Listesi'!A:G,5,0)</f>
      </c>
      <c r="E3" s="90"/>
    </row>
    <row r="4" spans="1:5" ht="138" customHeight="1">
      <c r="A4" s="4" t="s">
        <v>543</v>
      </c>
      <c r="B4" s="7" t="str">
        <f>VLOOKUP(A4,'Soru Listesi'!A:G,3,0)</f>
      </c>
      <c r="C4" s="124" t="str">
        <f>VLOOKUP(A4,Veriler!A:D,4,0)</f>
      </c>
      <c r="D4" s="124" t="str">
        <f>VLOOKUP(A4,'Soru Listesi'!A:G,5,0)</f>
      </c>
      <c r="E4" s="90"/>
    </row>
    <row r="5" spans="1:5" ht="138" customHeight="1">
      <c r="A5" s="4" t="s">
        <v>544</v>
      </c>
      <c r="B5" s="12" t="str">
        <f>VLOOKUP(A5,'Soru Listesi'!A:G,3,0)</f>
      </c>
      <c r="C5" s="124" t="str">
        <f>VLOOKUP(A5,Veriler!A:D,4,0)</f>
      </c>
      <c r="D5" s="124" t="str">
        <f>VLOOKUP(A5,'Soru Listesi'!A:G,5,0)</f>
      </c>
      <c r="E5" s="90"/>
    </row>
    <row r="6" spans="1:5" ht="138" customHeight="1">
      <c r="A6" s="4"/>
      <c r="B6" s="12"/>
      <c r="C6" s="6"/>
      <c r="D6" s="6"/>
      <c r="E6" s="92"/>
    </row>
    <row r="7" spans="1:5" ht="138" customHeight="1">
      <c r="A7" s="4"/>
      <c r="B7" s="14"/>
      <c r="C7" s="6"/>
      <c r="D7" s="6"/>
      <c r="E7" s="92"/>
    </row>
    <row r="9" spans="1:5">
      <c r="C9" s="5"/>
    </row>
    <row r="10" spans="1:5">
      <c r="B10" s="10" t="s">
        <v>299</v>
      </c>
      <c r="C10" s="10" t="s">
        <v>9</v>
      </c>
      <c r="D10" s="10" t="s">
        <v>1</v>
      </c>
    </row>
    <row r="11" spans="1:5">
      <c r="B11" s="9" t="s">
        <v>84</v>
      </c>
      <c r="C11" s="9" t="str">
        <f>VLOOKUP(B11,'Soru Listesi'!A:C,3,0)</f>
      </c>
      <c r="D11" s="9">
        <f>VLOOKUP(B11,Veriler!A:B,2,0)</f>
      </c>
    </row>
    <row r="12" spans="1:5">
      <c r="B12" s="9" t="s">
        <v>88</v>
      </c>
      <c r="C12" s="9" t="str">
        <f>VLOOKUP(B12,'Soru Listesi'!A:C,3,0)</f>
      </c>
      <c r="D12" s="9">
        <f>VLOOKUP(B12,Veriler!A:B,2,0)</f>
      </c>
    </row>
    <row r="13" spans="1:5">
      <c r="B13" s="9" t="s">
        <v>539</v>
      </c>
      <c r="C13" s="9" t="str">
        <f>VLOOKUP(B13,'Soru Listesi'!A:C,3,0)</f>
      </c>
      <c r="D13" s="9">
        <f>VLOOKUP(B13,Veriler!A:B,2,0)</f>
      </c>
    </row>
    <row r="14" spans="1:5">
      <c r="B14" s="9" t="s">
        <v>540</v>
      </c>
      <c r="C14" s="9" t="str">
        <f>VLOOKUP(B14,'Soru Listesi'!A:C,3,0)</f>
      </c>
      <c r="D14" s="9">
        <f>VLOOKUP(B14,Veriler!A:B,2,0)</f>
      </c>
    </row>
    <row r="15" spans="1:5">
      <c r="B15" s="9" t="s">
        <v>541</v>
      </c>
      <c r="C15" s="9" t="str">
        <f>VLOOKUP(B15,'Soru Listesi'!A:C,3,0)</f>
      </c>
      <c r="D15" s="9">
        <f>VLOOKUP(B15,Veriler!A:B,2,0)</f>
      </c>
    </row>
    <row r="16" spans="1:5">
      <c r="B16" s="9" t="s">
        <v>542</v>
      </c>
      <c r="C16" s="9" t="str">
        <f>VLOOKUP(B16,'Soru Listesi'!A:C,3,0)</f>
      </c>
      <c r="D16" s="9">
        <f>VLOOKUP(B16,Veriler!A:B,2,0)</f>
      </c>
    </row>
    <row r="17" spans="2:4">
      <c r="B17" s="9" t="s">
        <v>543</v>
      </c>
      <c r="C17" s="9" t="str">
        <f>VLOOKUP(B17,'Soru Listesi'!A:C,3,0)</f>
      </c>
      <c r="D17" s="9">
        <f>VLOOKUP(B17,Veriler!A:B,2,0)</f>
      </c>
    </row>
    <row r="18" spans="2:4">
      <c r="B18" s="9" t="s">
        <v>544</v>
      </c>
      <c r="C18" s="9" t="str">
        <f>VLOOKUP(B18,'Soru Listesi'!A:C,3,0)</f>
      </c>
      <c r="D18" s="9">
        <f>VLOOKUP(B18,Veriler!A:B,2,0)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B2:N27"/>
  <sheetViews>
    <sheetView zoomScale="70" zoomScaleNormal="70" workbookViewId="0">
      <selection activeCell="C2" sqref="C2:N23"/>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ayfa17">
    <pageSetUpPr fitToPage="1"/>
  </sheetPr>
  <dimension ref="A1:E18"/>
  <sheetViews>
    <sheetView zoomScale="70" zoomScaleNormal="70" workbookViewId="0">
      <selection activeCell="J5" sqref="J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92</v>
      </c>
      <c r="B3" s="7" t="str">
        <f>VLOOKUP(A3,'Soru Listesi'!A:G,3,0)</f>
      </c>
      <c r="C3" s="124" t="str">
        <f>VLOOKUP(A3,Veriler!A:D,4,0)</f>
      </c>
      <c r="D3" s="124" t="str">
        <f>VLOOKUP(A3,'Soru Listesi'!A:G,5,0)</f>
      </c>
      <c r="E3" s="90"/>
    </row>
    <row r="4" spans="1:5" ht="138" customHeight="1">
      <c r="A4" s="4" t="s">
        <v>95</v>
      </c>
      <c r="B4" s="7" t="str">
        <f>VLOOKUP(A4,'Soru Listesi'!A:G,3,0)</f>
      </c>
      <c r="C4" s="124" t="str">
        <f>VLOOKUP(A4,Veriler!A:D,4,0)</f>
      </c>
      <c r="D4" s="124" t="str">
        <f>VLOOKUP(A4,'Soru Listesi'!A:G,5,0)</f>
      </c>
      <c r="E4" s="90"/>
    </row>
    <row r="5" spans="1:5" ht="138" customHeight="1">
      <c r="A5" s="4" t="s">
        <v>97</v>
      </c>
      <c r="B5" s="7" t="str">
        <f>VLOOKUP(A5,'Soru Listesi'!A:G,3,0)</f>
      </c>
      <c r="C5" s="124" t="str">
        <f>VLOOKUP(A5,Veriler!A:D,4,0)</f>
      </c>
      <c r="D5" s="124" t="str">
        <f>VLOOKUP(A5,'Soru Listesi'!A:G,5,0)</f>
      </c>
      <c r="E5" s="90"/>
    </row>
    <row r="6" spans="1:5" ht="138" customHeight="1">
      <c r="A6" s="4" t="s">
        <v>100</v>
      </c>
      <c r="B6" s="7" t="str">
        <f>VLOOKUP(A6,'Soru Listesi'!A:G,3,0)</f>
      </c>
      <c r="C6" s="124" t="str">
        <f>VLOOKUP(A6,Veriler!A:D,4,0)</f>
      </c>
      <c r="D6" s="124" t="str">
        <f>VLOOKUP(A6,'Soru Listesi'!A:G,5,0)</f>
      </c>
      <c r="E6" s="90"/>
    </row>
    <row r="7" spans="1:5" ht="138" customHeight="1">
      <c r="A7" s="4" t="s">
        <v>102</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92</v>
      </c>
      <c r="C11" s="9" t="str">
        <f>VLOOKUP(B11,'Soru Listesi'!A:C,3,0)</f>
      </c>
      <c r="D11" s="9">
        <f>VLOOKUP(B11,Veriler!A:B,2,0)</f>
      </c>
    </row>
    <row r="12" spans="1:5">
      <c r="B12" s="9" t="s">
        <v>95</v>
      </c>
      <c r="C12" s="9" t="str">
        <f>VLOOKUP(B12,'Soru Listesi'!A:C,3,0)</f>
      </c>
      <c r="D12" s="9">
        <f>VLOOKUP(B12,Veriler!A:B,2,0)</f>
      </c>
    </row>
    <row r="13" spans="1:5">
      <c r="B13" s="9" t="s">
        <v>97</v>
      </c>
      <c r="C13" s="9" t="str">
        <f>VLOOKUP(B13,'Soru Listesi'!A:C,3,0)</f>
      </c>
      <c r="D13" s="9">
        <f>VLOOKUP(B13,Veriler!A:B,2,0)</f>
      </c>
    </row>
    <row r="14" spans="1:5">
      <c r="B14" s="9" t="s">
        <v>100</v>
      </c>
      <c r="C14" s="9" t="str">
        <f>VLOOKUP(B14,'Soru Listesi'!A:C,3,0)</f>
      </c>
      <c r="D14" s="9">
        <f>VLOOKUP(B14,Veriler!A:B,2,0)</f>
      </c>
    </row>
    <row r="15" spans="1:5">
      <c r="B15" s="9" t="s">
        <v>102</v>
      </c>
      <c r="C15" s="9" t="str">
        <f>VLOOKUP(B15,'Soru Listesi'!A:C,3,0)</f>
      </c>
      <c r="D15" s="9">
        <f>VLOOKUP(B15,Veriler!A:B,2,0)</f>
      </c>
    </row>
    <row r="16" spans="1:5">
      <c r="B16" s="9" t="s">
        <v>105</v>
      </c>
      <c r="C16" s="9" t="str">
        <f>VLOOKUP(B16,'Soru Listesi'!A:C,3,0)</f>
      </c>
      <c r="D16" s="9">
        <f>VLOOKUP(B16,Veriler!A:B,2,0)</f>
      </c>
    </row>
    <row r="17" spans="2:4">
      <c r="B17" s="9" t="s">
        <v>108</v>
      </c>
      <c r="C17" s="9" t="str">
        <f>VLOOKUP(B17,'Soru Listesi'!A:C,3,0)</f>
      </c>
      <c r="D17" s="9">
        <f>VLOOKUP(B17,Veriler!A:B,2,0)</f>
      </c>
    </row>
    <row r="18" spans="2:4">
      <c r="B18" s="9" t="s">
        <v>545</v>
      </c>
      <c r="C18" s="9" t="str">
        <f>VLOOKUP(B18,'Soru Listesi'!A:C,3,0)</f>
      </c>
      <c r="D18" s="9">
        <f>VLOOKUP(B18,Veriler!A:B,2,0)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ayfa18">
    <pageSetUpPr fitToPage="1"/>
  </sheetPr>
  <dimension ref="A1:E18"/>
  <sheetViews>
    <sheetView zoomScale="70" zoomScaleNormal="70" workbookViewId="0">
      <selection activeCell="C1" sqref="C1:E1"/>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105</v>
      </c>
      <c r="B3" s="7" t="str">
        <f>VLOOKUP(A3,'Soru Listesi'!A:G,3,0)</f>
      </c>
      <c r="C3" s="124" t="str">
        <f>VLOOKUP(A3,Veriler!A:D,4,0)</f>
      </c>
      <c r="D3" s="124" t="str">
        <f>VLOOKUP(A3,'Soru Listesi'!A:G,5,0)</f>
      </c>
      <c r="E3" s="90"/>
    </row>
    <row r="4" spans="1:5" ht="138" customHeight="1">
      <c r="A4" s="4" t="s">
        <v>108</v>
      </c>
      <c r="B4" s="7" t="str">
        <f>VLOOKUP(A4,'Soru Listesi'!A:G,3,0)</f>
      </c>
      <c r="C4" s="124" t="str">
        <f>VLOOKUP(A4,Veriler!A:D,4,0)</f>
      </c>
      <c r="D4" s="124" t="str">
        <f>VLOOKUP(A4,'Soru Listesi'!A:G,5,0)</f>
      </c>
      <c r="E4" s="90"/>
    </row>
    <row r="5" spans="1:5" ht="138" customHeight="1">
      <c r="A5" s="4" t="s">
        <v>545</v>
      </c>
      <c r="B5" s="12" t="str">
        <f>VLOOKUP(A5,'Soru Listesi'!A:G,3,0)</f>
      </c>
      <c r="C5" s="129" t="str">
        <f>VLOOKUP(A5,Veriler!A:D,4,0)</f>
      </c>
      <c r="D5" s="129" t="str">
        <f>VLOOKUP(A5,'Soru Listesi'!A:G,5,0)</f>
      </c>
      <c r="E5" s="90"/>
    </row>
    <row r="6" spans="1:5" ht="138" customHeight="1">
      <c r="A6" s="4"/>
      <c r="B6" s="12"/>
      <c r="C6" s="6"/>
      <c r="D6" s="6"/>
      <c r="E6" s="92"/>
    </row>
    <row r="7" spans="1:5" ht="138" customHeight="1">
      <c r="A7" s="4"/>
      <c r="B7" s="14"/>
      <c r="C7" s="6"/>
      <c r="D7" s="6"/>
      <c r="E7" s="92"/>
    </row>
    <row r="9" spans="1:5">
      <c r="C9" s="5"/>
    </row>
    <row r="10" spans="1:5">
      <c r="B10" s="10" t="s">
        <v>299</v>
      </c>
      <c r="C10" s="10" t="s">
        <v>9</v>
      </c>
      <c r="D10" s="10" t="s">
        <v>1</v>
      </c>
    </row>
    <row r="11" spans="1:5">
      <c r="B11" s="9" t="s">
        <v>92</v>
      </c>
      <c r="C11" s="9" t="str">
        <f>VLOOKUP(B11,'Soru Listesi'!A:C,3,0)</f>
      </c>
      <c r="D11" s="9">
        <f>VLOOKUP(B11,Veriler!A:B,2,0)</f>
      </c>
    </row>
    <row r="12" spans="1:5">
      <c r="B12" s="9" t="s">
        <v>95</v>
      </c>
      <c r="C12" s="9" t="str">
        <f>VLOOKUP(B12,'Soru Listesi'!A:C,3,0)</f>
      </c>
      <c r="D12" s="9">
        <f>VLOOKUP(B12,Veriler!A:B,2,0)</f>
      </c>
    </row>
    <row r="13" spans="1:5">
      <c r="B13" s="9" t="s">
        <v>97</v>
      </c>
      <c r="C13" s="9" t="str">
        <f>VLOOKUP(B13,'Soru Listesi'!A:C,3,0)</f>
      </c>
      <c r="D13" s="9">
        <f>VLOOKUP(B13,Veriler!A:B,2,0)</f>
      </c>
    </row>
    <row r="14" spans="1:5">
      <c r="B14" s="9" t="s">
        <v>100</v>
      </c>
      <c r="C14" s="9" t="str">
        <f>VLOOKUP(B14,'Soru Listesi'!A:C,3,0)</f>
      </c>
      <c r="D14" s="9">
        <f>VLOOKUP(B14,Veriler!A:B,2,0)</f>
      </c>
    </row>
    <row r="15" spans="1:5">
      <c r="B15" s="9" t="s">
        <v>102</v>
      </c>
      <c r="C15" s="9" t="str">
        <f>VLOOKUP(B15,'Soru Listesi'!A:C,3,0)</f>
      </c>
      <c r="D15" s="9">
        <f>VLOOKUP(B15,Veriler!A:B,2,0)</f>
      </c>
    </row>
    <row r="16" spans="1:5">
      <c r="B16" s="9" t="s">
        <v>105</v>
      </c>
      <c r="C16" s="9" t="str">
        <f>VLOOKUP(B16,'Soru Listesi'!A:C,3,0)</f>
      </c>
      <c r="D16" s="9">
        <f>VLOOKUP(B16,Veriler!A:B,2,0)</f>
      </c>
    </row>
    <row r="17" spans="2:4">
      <c r="B17" s="9" t="s">
        <v>108</v>
      </c>
      <c r="C17" s="9" t="str">
        <f>VLOOKUP(B17,'Soru Listesi'!A:C,3,0)</f>
      </c>
      <c r="D17" s="9">
        <f>VLOOKUP(B17,Veriler!A:B,2,0)</f>
      </c>
    </row>
    <row r="18" spans="2:4">
      <c r="B18" s="9" t="s">
        <v>545</v>
      </c>
      <c r="C18" s="9" t="str">
        <f>VLOOKUP(B18,'Soru Listesi'!A:C,3,0)</f>
      </c>
      <c r="D18" s="9">
        <f>VLOOKUP(B18,Veriler!A:B,2,0)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B2:N27"/>
  <sheetViews>
    <sheetView zoomScale="70" zoomScaleNormal="70" workbookViewId="0">
      <selection activeCell="T20" sqref="T20"/>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ayfa19">
    <pageSetUpPr fitToPage="1"/>
  </sheetPr>
  <dimension ref="A1:E23"/>
  <sheetViews>
    <sheetView zoomScale="70" zoomScaleNormal="70" workbookViewId="0">
      <selection activeCell="C11" sqref="C11"/>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110</v>
      </c>
      <c r="B3" s="7" t="str">
        <f>VLOOKUP(A3,'Soru Listesi'!A:G,3,0)</f>
      </c>
      <c r="C3" s="124" t="str">
        <f>VLOOKUP(A3,Veriler!A:D,4,0)</f>
      </c>
      <c r="D3" s="124" t="str">
        <f>VLOOKUP(A3,'Soru Listesi'!A:G,5,0)</f>
      </c>
      <c r="E3" s="90"/>
    </row>
    <row r="4" spans="1:5" ht="138" customHeight="1">
      <c r="A4" s="4" t="s">
        <v>114</v>
      </c>
      <c r="B4" s="7" t="str">
        <f>VLOOKUP(A4,'Soru Listesi'!A:G,3,0)</f>
      </c>
      <c r="C4" s="124" t="str">
        <f>VLOOKUP(A4,Veriler!A:D,4,0)</f>
      </c>
      <c r="D4" s="124" t="str">
        <f>VLOOKUP(A4,'Soru Listesi'!A:G,5,0)</f>
      </c>
      <c r="E4" s="90"/>
    </row>
    <row r="5" spans="1:5" ht="138" customHeight="1">
      <c r="A5" s="4" t="s">
        <v>116</v>
      </c>
      <c r="B5" s="7" t="str">
        <f>VLOOKUP(A5,'Soru Listesi'!A:G,3,0)</f>
      </c>
      <c r="C5" s="124" t="str">
        <f>VLOOKUP(A5,Veriler!A:D,4,0)</f>
      </c>
      <c r="D5" s="124" t="str">
        <f>VLOOKUP(A5,'Soru Listesi'!A:G,5,0)</f>
      </c>
      <c r="E5" s="90"/>
    </row>
    <row r="6" spans="1:5" ht="138" customHeight="1">
      <c r="A6" s="4" t="s">
        <v>118</v>
      </c>
      <c r="B6" s="7" t="str">
        <f>VLOOKUP(A6,'Soru Listesi'!A:G,3,0)</f>
      </c>
      <c r="C6" s="124" t="str">
        <f>VLOOKUP(A6,Veriler!A:D,4,0)</f>
      </c>
      <c r="D6" s="124" t="str">
        <f>VLOOKUP(A6,'Soru Listesi'!A:G,5,0)</f>
      </c>
      <c r="E6" s="90"/>
    </row>
    <row r="7" spans="1:5" ht="138" customHeight="1">
      <c r="A7" s="4" t="s">
        <v>546</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110</v>
      </c>
      <c r="C11" s="9" t="str">
        <f>VLOOKUP(B11,'Soru Listesi'!A:C,3,0)</f>
      </c>
      <c r="D11" s="9">
        <f>VLOOKUP(B11,Veriler!A:B,2,0)</f>
      </c>
    </row>
    <row r="12" spans="1:5">
      <c r="B12" s="9" t="s">
        <v>114</v>
      </c>
      <c r="C12" s="9" t="str">
        <f>VLOOKUP(B12,'Soru Listesi'!A:C,3,0)</f>
      </c>
      <c r="D12" s="9">
        <f>VLOOKUP(B12,Veriler!A:B,2,0)</f>
      </c>
    </row>
    <row r="13" spans="1:5">
      <c r="B13" s="9" t="s">
        <v>116</v>
      </c>
      <c r="C13" s="9" t="str">
        <f>VLOOKUP(B13,'Soru Listesi'!A:C,3,0)</f>
      </c>
      <c r="D13" s="9">
        <f>VLOOKUP(B13,Veriler!A:B,2,0)</f>
      </c>
    </row>
    <row r="14" spans="1:5">
      <c r="B14" s="9" t="s">
        <v>118</v>
      </c>
      <c r="C14" s="9" t="str">
        <f>VLOOKUP(B14,'Soru Listesi'!A:C,3,0)</f>
      </c>
      <c r="D14" s="9">
        <f>VLOOKUP(B14,Veriler!A:B,2,0)</f>
      </c>
    </row>
    <row r="15" spans="1:5">
      <c r="B15" s="9" t="s">
        <v>546</v>
      </c>
      <c r="C15" s="9" t="str">
        <f>VLOOKUP(B15,'Soru Listesi'!A:C,3,0)</f>
      </c>
      <c r="D15" s="9">
        <f>VLOOKUP(B15,Veriler!A:B,2,0)</f>
      </c>
    </row>
    <row r="16" spans="1:5">
      <c r="B16" s="9" t="s">
        <v>120</v>
      </c>
      <c r="C16" s="9" t="str">
        <f>VLOOKUP(B16,'Soru Listesi'!A:C,3,0)</f>
      </c>
      <c r="D16" s="9">
        <f>VLOOKUP(B16,Veriler!A:B,2,0)</f>
      </c>
    </row>
    <row r="17" spans="2:4">
      <c r="B17" s="9" t="s">
        <v>123</v>
      </c>
      <c r="C17" s="9" t="str">
        <f>VLOOKUP(B17,'Soru Listesi'!A:C,3,0)</f>
      </c>
      <c r="D17" s="9">
        <f>VLOOKUP(B17,Veriler!A:B,2,0)</f>
      </c>
    </row>
    <row r="18" spans="2:4">
      <c r="B18" s="9" t="s">
        <v>126</v>
      </c>
      <c r="C18" s="9" t="str">
        <f>VLOOKUP(B18,'Soru Listesi'!A:C,3,0)</f>
      </c>
      <c r="D18" s="9">
        <f>VLOOKUP(B18,Veriler!A:B,2,0)</f>
      </c>
    </row>
    <row r="19" spans="2:4">
      <c r="B19" s="9" t="s">
        <v>128</v>
      </c>
      <c r="C19" s="9" t="str">
        <f>VLOOKUP(B19,'Soru Listesi'!A:C,3,0)</f>
      </c>
      <c r="D19" s="9">
        <f>VLOOKUP(B19,Veriler!A:B,2,0)</f>
      </c>
    </row>
    <row r="20" spans="2:4">
      <c r="B20" s="9" t="s">
        <v>130</v>
      </c>
      <c r="C20" s="9" t="str">
        <f>VLOOKUP(B20,'Soru Listesi'!A:C,3,0)</f>
      </c>
      <c r="D20" s="9">
        <f>VLOOKUP(B20,Veriler!A:B,2,0)</f>
      </c>
    </row>
    <row r="21" spans="2:4">
      <c r="B21" s="9" t="s">
        <v>133</v>
      </c>
      <c r="C21" s="9" t="str">
        <f>VLOOKUP(B21,'Soru Listesi'!A:C,3,0)</f>
      </c>
      <c r="D21" s="9">
        <f>VLOOKUP(B21,Veriler!A:B,2,0)</f>
      </c>
    </row>
    <row r="22" spans="2:4">
      <c r="B22" s="9" t="s">
        <v>547</v>
      </c>
      <c r="C22" s="9" t="str">
        <f>VLOOKUP(B22,'Soru Listesi'!A:C,3,0)</f>
      </c>
      <c r="D22" s="9">
        <f>VLOOKUP(B22,Veriler!A:B,2,0)</f>
      </c>
    </row>
    <row r="23" spans="2:4">
      <c r="B23" s="9" t="s">
        <v>568</v>
      </c>
      <c r="C23" s="9" t="str">
        <f>VLOOKUP(B23,'Soru Listesi'!A:C,3,0)</f>
      </c>
      <c r="D23" s="9">
        <f>VLOOKUP(B23,Veriler!A:B,2,0)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ayfa20">
    <pageSetUpPr fitToPage="1"/>
  </sheetPr>
  <dimension ref="A1:E23"/>
  <sheetViews>
    <sheetView zoomScale="70" zoomScaleNormal="70" workbookViewId="0">
      <selection activeCell="K5" sqref="K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120</v>
      </c>
      <c r="B3" s="7" t="str">
        <f>VLOOKUP(A3,'Soru Listesi'!A:G,3,0)</f>
      </c>
      <c r="C3" s="124" t="str">
        <f>VLOOKUP(A3,Veriler!A:D,4,0)</f>
      </c>
      <c r="D3" s="124" t="str">
        <f>VLOOKUP(A3,'Soru Listesi'!A:G,5,0)</f>
      </c>
      <c r="E3" s="90"/>
    </row>
    <row r="4" spans="1:5" ht="138" customHeight="1">
      <c r="A4" s="4" t="s">
        <v>123</v>
      </c>
      <c r="B4" s="7" t="str">
        <f>VLOOKUP(A4,'Soru Listesi'!A:G,3,0)</f>
      </c>
      <c r="C4" s="124" t="str">
        <f>VLOOKUP(A4,Veriler!A:D,4,0)</f>
      </c>
      <c r="D4" s="124" t="str">
        <f>VLOOKUP(A4,'Soru Listesi'!A:G,5,0)</f>
      </c>
      <c r="E4" s="90"/>
    </row>
    <row r="5" spans="1:5" ht="138" customHeight="1">
      <c r="A5" s="4" t="s">
        <v>126</v>
      </c>
      <c r="B5" s="7" t="str">
        <f>VLOOKUP(A5,'Soru Listesi'!A:G,3,0)</f>
      </c>
      <c r="C5" s="124" t="str">
        <f>VLOOKUP(A5,Veriler!A:D,4,0)</f>
      </c>
      <c r="D5" s="124" t="str">
        <f>VLOOKUP(A5,'Soru Listesi'!A:G,5,0)</f>
      </c>
      <c r="E5" s="90"/>
    </row>
    <row r="6" spans="1:5" ht="138" customHeight="1">
      <c r="A6" s="4" t="s">
        <v>128</v>
      </c>
      <c r="B6" s="7" t="str">
        <f>VLOOKUP(A6,'Soru Listesi'!A:G,3,0)</f>
      </c>
      <c r="C6" s="124" t="str">
        <f>VLOOKUP(A6,Veriler!A:D,4,0)</f>
      </c>
      <c r="D6" s="124" t="str">
        <f>VLOOKUP(A6,'Soru Listesi'!A:G,5,0)</f>
      </c>
      <c r="E6" s="90"/>
    </row>
    <row r="7" spans="1:5" ht="138" customHeight="1">
      <c r="A7" s="4" t="s">
        <v>130</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110</v>
      </c>
      <c r="C11" s="9" t="str">
        <f>VLOOKUP(B11,'Soru Listesi'!A:C,3,0)</f>
      </c>
      <c r="D11" s="9">
        <f>VLOOKUP(B11,Veriler!A:B,2,0)</f>
      </c>
    </row>
    <row r="12" spans="1:5">
      <c r="B12" s="9" t="s">
        <v>114</v>
      </c>
      <c r="C12" s="9" t="str">
        <f>VLOOKUP(B12,'Soru Listesi'!A:C,3,0)</f>
      </c>
      <c r="D12" s="9">
        <f>VLOOKUP(B12,Veriler!A:B,2,0)</f>
      </c>
    </row>
    <row r="13" spans="1:5">
      <c r="B13" s="9" t="s">
        <v>116</v>
      </c>
      <c r="C13" s="9" t="str">
        <f>VLOOKUP(B13,'Soru Listesi'!A:C,3,0)</f>
      </c>
      <c r="D13" s="9">
        <f>VLOOKUP(B13,Veriler!A:B,2,0)</f>
      </c>
    </row>
    <row r="14" spans="1:5">
      <c r="B14" s="9" t="s">
        <v>118</v>
      </c>
      <c r="C14" s="9" t="str">
        <f>VLOOKUP(B14,'Soru Listesi'!A:C,3,0)</f>
      </c>
      <c r="D14" s="9">
        <f>VLOOKUP(B14,Veriler!A:B,2,0)</f>
      </c>
    </row>
    <row r="15" spans="1:5">
      <c r="B15" s="9" t="s">
        <v>546</v>
      </c>
      <c r="C15" s="9" t="str">
        <f>VLOOKUP(B15,'Soru Listesi'!A:C,3,0)</f>
      </c>
      <c r="D15" s="9">
        <f>VLOOKUP(B15,Veriler!A:B,2,0)</f>
      </c>
    </row>
    <row r="16" spans="1:5">
      <c r="B16" s="9" t="s">
        <v>120</v>
      </c>
      <c r="C16" s="9" t="str">
        <f>VLOOKUP(B16,'Soru Listesi'!A:C,3,0)</f>
      </c>
      <c r="D16" s="9">
        <f>VLOOKUP(B16,Veriler!A:B,2,0)</f>
      </c>
    </row>
    <row r="17" spans="2:4">
      <c r="B17" s="9" t="s">
        <v>123</v>
      </c>
      <c r="C17" s="9" t="str">
        <f>VLOOKUP(B17,'Soru Listesi'!A:C,3,0)</f>
      </c>
      <c r="D17" s="9">
        <f>VLOOKUP(B17,Veriler!A:B,2,0)</f>
      </c>
    </row>
    <row r="18" spans="2:4">
      <c r="B18" s="9" t="s">
        <v>126</v>
      </c>
      <c r="C18" s="9" t="str">
        <f>VLOOKUP(B18,'Soru Listesi'!A:C,3,0)</f>
      </c>
      <c r="D18" s="9">
        <f>VLOOKUP(B18,Veriler!A:B,2,0)</f>
      </c>
    </row>
    <row r="19" spans="2:4">
      <c r="B19" s="9" t="s">
        <v>128</v>
      </c>
      <c r="C19" s="9" t="str">
        <f>VLOOKUP(B19,'Soru Listesi'!A:C,3,0)</f>
      </c>
      <c r="D19" s="9">
        <f>VLOOKUP(B19,Veriler!A:B,2,0)</f>
      </c>
    </row>
    <row r="20" spans="2:4">
      <c r="B20" s="9" t="s">
        <v>130</v>
      </c>
      <c r="C20" s="9" t="str">
        <f>VLOOKUP(B20,'Soru Listesi'!A:C,3,0)</f>
      </c>
      <c r="D20" s="9">
        <f>VLOOKUP(B20,Veriler!A:B,2,0)</f>
      </c>
    </row>
    <row r="21" spans="2:4">
      <c r="B21" s="9" t="s">
        <v>133</v>
      </c>
      <c r="C21" s="9" t="str">
        <f>VLOOKUP(B21,'Soru Listesi'!A:C,3,0)</f>
      </c>
      <c r="D21" s="9">
        <f>VLOOKUP(B21,Veriler!A:B,2,0)</f>
      </c>
    </row>
    <row r="22" spans="2:4">
      <c r="B22" s="9" t="s">
        <v>547</v>
      </c>
      <c r="C22" s="9" t="str">
        <f>VLOOKUP(B22,'Soru Listesi'!A:C,3,0)</f>
      </c>
      <c r="D22" s="9">
        <f>VLOOKUP(B22,Veriler!A:B,2,0)</f>
      </c>
    </row>
    <row r="23" spans="2:4">
      <c r="B23" s="9" t="s">
        <v>568</v>
      </c>
      <c r="C23" s="9" t="str">
        <f>VLOOKUP(B23,'Soru Listesi'!A:C,3,0)</f>
      </c>
      <c r="D23" s="9">
        <f>VLOOKUP(B23,Veriler!A:B,2,0)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ayfa21">
    <pageSetUpPr fitToPage="1"/>
  </sheetPr>
  <dimension ref="A1:E23"/>
  <sheetViews>
    <sheetView zoomScale="70" zoomScaleNormal="70" workbookViewId="0">
      <selection activeCell="I5" sqref="I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133</v>
      </c>
      <c r="B3" s="7" t="str">
        <f>VLOOKUP(A3,'Soru Listesi'!A:G,3,0)</f>
      </c>
      <c r="C3" s="130" t="str">
        <f>VLOOKUP(A3,Veriler!A:D,4,0)</f>
      </c>
      <c r="D3" s="130" t="str">
        <f>VLOOKUP(A3,'Soru Listesi'!A:G,5,0)</f>
      </c>
      <c r="E3" s="90"/>
    </row>
    <row r="4" spans="1:5" ht="138" customHeight="1">
      <c r="A4" s="4" t="s">
        <v>547</v>
      </c>
      <c r="B4" s="7" t="str">
        <f>VLOOKUP(A4,'Soru Listesi'!A:G,3,0)</f>
      </c>
      <c r="C4" s="130" t="str">
        <f>VLOOKUP(A4,Veriler!A:D,4,0)</f>
      </c>
      <c r="D4" s="130" t="str">
        <f>VLOOKUP(A4,'Soru Listesi'!A:G,5,0)</f>
      </c>
      <c r="E4" s="90"/>
    </row>
    <row r="5" spans="1:5" ht="138" customHeight="1">
      <c r="A5" s="4" t="s">
        <v>568</v>
      </c>
      <c r="B5" s="12" t="str">
        <f>VLOOKUP(A5,'Soru Listesi'!A:G,3,0)</f>
      </c>
      <c r="C5" s="131" t="str">
        <f>VLOOKUP(A5,Veriler!A:D,4,0)</f>
      </c>
      <c r="D5" s="131" t="str">
        <f>VLOOKUP(A5,'Soru Listesi'!A:G,5,0)</f>
      </c>
      <c r="E5" s="90"/>
    </row>
    <row r="6" spans="1:5" ht="138" customHeight="1">
      <c r="A6" s="4"/>
      <c r="B6" s="12"/>
      <c r="C6" s="130"/>
      <c r="D6" s="130"/>
      <c r="E6" s="92"/>
    </row>
    <row r="7" spans="1:5" ht="138" customHeight="1">
      <c r="A7" s="4"/>
      <c r="B7" s="14"/>
      <c r="C7" s="130"/>
      <c r="D7" s="130"/>
      <c r="E7" s="92"/>
    </row>
    <row r="8" spans="1:5">
      <c r="C8" s="99"/>
      <c r="D8" s="99"/>
    </row>
    <row r="9" spans="1:5">
      <c r="C9" s="5"/>
    </row>
    <row r="10" spans="1:5">
      <c r="B10" s="10" t="s">
        <v>299</v>
      </c>
      <c r="C10" s="10" t="s">
        <v>9</v>
      </c>
      <c r="D10" s="10" t="s">
        <v>1</v>
      </c>
    </row>
    <row r="11" spans="1:5">
      <c r="B11" s="9" t="s">
        <v>110</v>
      </c>
      <c r="C11" s="9" t="str">
        <f>VLOOKUP(B11,'Soru Listesi'!A:C,3,0)</f>
      </c>
      <c r="D11" s="9">
        <f>VLOOKUP(B11,Veriler!A:B,2,0)</f>
      </c>
    </row>
    <row r="12" spans="1:5">
      <c r="B12" s="9" t="s">
        <v>114</v>
      </c>
      <c r="C12" s="9" t="str">
        <f>VLOOKUP(B12,'Soru Listesi'!A:C,3,0)</f>
      </c>
      <c r="D12" s="9">
        <f>VLOOKUP(B12,Veriler!A:B,2,0)</f>
      </c>
    </row>
    <row r="13" spans="1:5">
      <c r="B13" s="9" t="s">
        <v>116</v>
      </c>
      <c r="C13" s="9" t="str">
        <f>VLOOKUP(B13,'Soru Listesi'!A:C,3,0)</f>
      </c>
      <c r="D13" s="9">
        <f>VLOOKUP(B13,Veriler!A:B,2,0)</f>
      </c>
    </row>
    <row r="14" spans="1:5">
      <c r="B14" s="9" t="s">
        <v>118</v>
      </c>
      <c r="C14" s="9" t="str">
        <f>VLOOKUP(B14,'Soru Listesi'!A:C,3,0)</f>
      </c>
      <c r="D14" s="9">
        <f>VLOOKUP(B14,Veriler!A:B,2,0)</f>
      </c>
    </row>
    <row r="15" spans="1:5">
      <c r="B15" s="9" t="s">
        <v>546</v>
      </c>
      <c r="C15" s="9" t="str">
        <f>VLOOKUP(B15,'Soru Listesi'!A:C,3,0)</f>
      </c>
      <c r="D15" s="9">
        <f>VLOOKUP(B15,Veriler!A:B,2,0)</f>
      </c>
    </row>
    <row r="16" spans="1:5">
      <c r="B16" s="9" t="s">
        <v>120</v>
      </c>
      <c r="C16" s="9" t="str">
        <f>VLOOKUP(B16,'Soru Listesi'!A:C,3,0)</f>
      </c>
      <c r="D16" s="9">
        <f>VLOOKUP(B16,Veriler!A:B,2,0)</f>
      </c>
    </row>
    <row r="17" spans="2:4">
      <c r="B17" s="9" t="s">
        <v>123</v>
      </c>
      <c r="C17" s="9" t="str">
        <f>VLOOKUP(B17,'Soru Listesi'!A:C,3,0)</f>
      </c>
      <c r="D17" s="9">
        <f>VLOOKUP(B17,Veriler!A:B,2,0)</f>
      </c>
    </row>
    <row r="18" spans="2:4">
      <c r="B18" s="9" t="s">
        <v>126</v>
      </c>
      <c r="C18" s="9" t="str">
        <f>VLOOKUP(B18,'Soru Listesi'!A:C,3,0)</f>
      </c>
      <c r="D18" s="9">
        <f>VLOOKUP(B18,Veriler!A:B,2,0)</f>
      </c>
    </row>
    <row r="19" spans="2:4">
      <c r="B19" s="9" t="s">
        <v>128</v>
      </c>
      <c r="C19" s="9" t="str">
        <f>VLOOKUP(B19,'Soru Listesi'!A:C,3,0)</f>
      </c>
      <c r="D19" s="9">
        <f>VLOOKUP(B19,Veriler!A:B,2,0)</f>
      </c>
    </row>
    <row r="20" spans="2:4">
      <c r="B20" s="9" t="s">
        <v>130</v>
      </c>
      <c r="C20" s="9" t="str">
        <f>VLOOKUP(B20,'Soru Listesi'!A:C,3,0)</f>
      </c>
      <c r="D20" s="9">
        <f>VLOOKUP(B20,Veriler!A:B,2,0)</f>
      </c>
    </row>
    <row r="21" spans="2:4">
      <c r="B21" s="9" t="s">
        <v>133</v>
      </c>
      <c r="C21" s="9" t="str">
        <f>VLOOKUP(B21,'Soru Listesi'!A:C,3,0)</f>
      </c>
      <c r="D21" s="9">
        <f>VLOOKUP(B21,Veriler!A:B,2,0)</f>
      </c>
    </row>
    <row r="22" spans="2:4">
      <c r="B22" s="9" t="s">
        <v>547</v>
      </c>
      <c r="C22" s="9" t="str">
        <f>VLOOKUP(B22,'Soru Listesi'!A:C,3,0)</f>
      </c>
      <c r="D22" s="9">
        <f>VLOOKUP(B22,Veriler!A:B,2,0)</f>
      </c>
    </row>
    <row r="23" spans="2:4">
      <c r="B23" s="9" t="s">
        <v>568</v>
      </c>
      <c r="C23" s="9" t="str">
        <f>VLOOKUP(B23,'Soru Listesi'!A:C,3,0)</f>
      </c>
      <c r="D23" s="9">
        <f>VLOOKUP(B23,Veriler!A:B,2,0)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B2:N27"/>
  <sheetViews>
    <sheetView zoomScale="70" zoomScaleNormal="70" workbookViewId="0">
      <selection activeCell="J38" sqref="J38"/>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ayfa22">
    <pageSetUpPr fitToPage="1"/>
  </sheetPr>
  <dimension ref="A1:E16"/>
  <sheetViews>
    <sheetView zoomScale="70" zoomScaleNormal="70" workbookViewId="0">
      <selection activeCell="H4" sqref="H4"/>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136</v>
      </c>
      <c r="B3" s="7" t="str">
        <f>VLOOKUP(A3,'Soru Listesi'!A:G,3,0)</f>
      </c>
      <c r="C3" s="124" t="str">
        <f>VLOOKUP(A3,Veriler!A:D,4,0)</f>
      </c>
      <c r="D3" s="124" t="str">
        <f>VLOOKUP(A3,'Soru Listesi'!A:G,5,0)</f>
      </c>
      <c r="E3" s="90"/>
    </row>
    <row r="4" spans="1:5" ht="138" customHeight="1">
      <c r="A4" s="4" t="s">
        <v>140</v>
      </c>
      <c r="B4" s="7" t="str">
        <f>VLOOKUP(A4,'Soru Listesi'!A:G,3,0)</f>
      </c>
      <c r="C4" s="124" t="str">
        <f>VLOOKUP(A4,Veriler!A:D,4,0)</f>
      </c>
      <c r="D4" s="124" t="str">
        <f>VLOOKUP(A4,'Soru Listesi'!A:G,5,0)</f>
      </c>
      <c r="E4" s="90"/>
    </row>
    <row r="5" spans="1:5" ht="138" customHeight="1">
      <c r="A5" s="4" t="s">
        <v>142</v>
      </c>
      <c r="B5" s="7" t="str">
        <f>VLOOKUP(A5,'Soru Listesi'!A:G,3,0)</f>
      </c>
      <c r="C5" s="124" t="str">
        <f>VLOOKUP(A5,Veriler!A:D,4,0)</f>
      </c>
      <c r="D5" s="124" t="str">
        <f>VLOOKUP(A5,'Soru Listesi'!A:G,5,0)</f>
      </c>
      <c r="E5" s="90"/>
    </row>
    <row r="6" spans="1:5" ht="138" customHeight="1">
      <c r="A6" s="4" t="s">
        <v>144</v>
      </c>
      <c r="B6" s="7" t="str">
        <f>VLOOKUP(A6,'Soru Listesi'!A:G,3,0)</f>
      </c>
      <c r="C6" s="124" t="str">
        <f>VLOOKUP(A6,Veriler!A:D,4,0)</f>
      </c>
      <c r="D6" s="124" t="str">
        <f>VLOOKUP(A6,'Soru Listesi'!A:G,5,0)</f>
      </c>
      <c r="E6" s="90"/>
    </row>
    <row r="7" spans="1:5" ht="138" customHeight="1">
      <c r="A7" s="4" t="s">
        <v>146</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136</v>
      </c>
      <c r="C11" s="9" t="str">
        <f>VLOOKUP(B11,'Soru Listesi'!A:C,3,0)</f>
      </c>
      <c r="D11" s="9">
        <f>VLOOKUP(B11,Veriler!A:B,2,0)</f>
      </c>
    </row>
    <row r="12" spans="1:5">
      <c r="B12" s="9" t="s">
        <v>140</v>
      </c>
      <c r="C12" s="9" t="str">
        <f>VLOOKUP(B12,'Soru Listesi'!A:C,3,0)</f>
      </c>
      <c r="D12" s="9">
        <f>VLOOKUP(B12,Veriler!A:B,2,0)</f>
      </c>
    </row>
    <row r="13" spans="1:5">
      <c r="B13" s="9" t="s">
        <v>142</v>
      </c>
      <c r="C13" s="9" t="str">
        <f>VLOOKUP(B13,'Soru Listesi'!A:C,3,0)</f>
      </c>
      <c r="D13" s="9">
        <f>VLOOKUP(B13,Veriler!A:B,2,0)</f>
      </c>
    </row>
    <row r="14" spans="1:5">
      <c r="B14" s="9" t="s">
        <v>144</v>
      </c>
      <c r="C14" s="9" t="str">
        <f>VLOOKUP(B14,'Soru Listesi'!A:C,3,0)</f>
      </c>
      <c r="D14" s="9">
        <f>VLOOKUP(B14,Veriler!A:B,2,0)</f>
      </c>
    </row>
    <row r="15" spans="1:5">
      <c r="B15" s="9" t="s">
        <v>146</v>
      </c>
      <c r="C15" s="9" t="str">
        <f>VLOOKUP(B15,'Soru Listesi'!A:C,3,0)</f>
      </c>
      <c r="D15" s="9">
        <f>VLOOKUP(B15,Veriler!A:B,2,0)</f>
      </c>
    </row>
    <row r="16" spans="1:5">
      <c r="B16" s="9" t="s">
        <v>149</v>
      </c>
      <c r="C16" s="9" t="str">
        <f>VLOOKUP(B16,'Soru Listesi'!A:C,3,0)</f>
      </c>
      <c r="D16" s="9">
        <f>VLOOKUP(B16,Veriler!A:B,2,0)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ayfa23">
    <pageSetUpPr fitToPage="1"/>
  </sheetPr>
  <dimension ref="A1:E17"/>
  <sheetViews>
    <sheetView zoomScale="70" zoomScaleNormal="70" workbookViewId="0">
      <selection activeCell="O6" sqref="O6"/>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6" t="str">
        <f>VLOOKUP(A3,'Soru Listesi'!A:F,6,0)</f>
      </c>
      <c r="D1" s="126"/>
      <c r="E1" s="126"/>
    </row>
    <row r="2" spans="1:5" ht="20" customHeight="1">
      <c r="A2" t="s">
        <v>298</v>
      </c>
      <c r="B2" s="91"/>
      <c r="C2" s="8" t="s">
        <v>296</v>
      </c>
      <c r="D2" s="8" t="s">
        <v>6</v>
      </c>
      <c r="E2" s="8" t="s">
        <v>297</v>
      </c>
    </row>
    <row r="3" spans="1:5" ht="138" customHeight="1">
      <c r="A3" s="4" t="s">
        <v>149</v>
      </c>
      <c r="B3" s="7" t="str">
        <f>VLOOKUP(A3,'Soru Listesi'!A:G,3,0)</f>
      </c>
      <c r="C3" s="130" t="str">
        <f>VLOOKUP(A3,Veriler!A:D,4,0)</f>
      </c>
      <c r="D3" s="130" t="str">
        <f>VLOOKUP(A3,'Soru Listesi'!A:G,5,0)</f>
      </c>
      <c r="E3" s="90"/>
    </row>
    <row r="4" spans="1:5" ht="138" customHeight="1">
      <c r="A4" s="4" t="s">
        <v>569</v>
      </c>
      <c r="B4" s="12" t="str">
        <f>VLOOKUP(A4,'Soru Listesi'!A:G,3,0)</f>
      </c>
      <c r="C4" s="130" t="str">
        <f>VLOOKUP(A4,Veriler!A:D,4,0)</f>
      </c>
      <c r="D4" s="130" t="str">
        <f>VLOOKUP(A4,'Soru Listesi'!A:G,5,0)</f>
      </c>
      <c r="E4" s="90"/>
    </row>
    <row r="5" spans="1:5" ht="138" customHeight="1">
      <c r="A5" s="4"/>
      <c r="B5" s="12"/>
      <c r="C5" s="130"/>
      <c r="D5" s="130"/>
      <c r="E5" s="92"/>
    </row>
    <row r="6" spans="1:5" ht="138" customHeight="1">
      <c r="A6" s="4"/>
      <c r="B6" s="16"/>
      <c r="C6" s="130"/>
      <c r="D6" s="130"/>
      <c r="E6" s="92"/>
    </row>
    <row r="7" spans="1:5" ht="138" customHeight="1">
      <c r="A7" s="4"/>
      <c r="B7" s="14"/>
      <c r="C7" s="130"/>
      <c r="D7" s="130"/>
      <c r="E7" s="92"/>
    </row>
    <row r="9" spans="1:5">
      <c r="C9" s="5"/>
    </row>
    <row r="10" spans="1:5">
      <c r="B10" s="10" t="s">
        <v>299</v>
      </c>
      <c r="C10" s="10" t="s">
        <v>9</v>
      </c>
      <c r="D10" s="10" t="s">
        <v>1</v>
      </c>
    </row>
    <row r="11" spans="1:5">
      <c r="B11" s="9" t="s">
        <v>136</v>
      </c>
      <c r="C11" s="9" t="str">
        <f>VLOOKUP(B11,'Soru Listesi'!A:C,3,0)</f>
      </c>
      <c r="D11" s="9">
        <f>VLOOKUP(B11,Veriler!A:B,2,0)</f>
      </c>
    </row>
    <row r="12" spans="1:5">
      <c r="B12" s="9" t="s">
        <v>140</v>
      </c>
      <c r="C12" s="9" t="str">
        <f>VLOOKUP(B12,'Soru Listesi'!A:C,3,0)</f>
      </c>
      <c r="D12" s="9">
        <f>VLOOKUP(B12,Veriler!A:B,2,0)</f>
      </c>
    </row>
    <row r="13" spans="1:5">
      <c r="B13" s="9" t="s">
        <v>142</v>
      </c>
      <c r="C13" s="9" t="str">
        <f>VLOOKUP(B13,'Soru Listesi'!A:C,3,0)</f>
      </c>
      <c r="D13" s="9">
        <f>VLOOKUP(B13,Veriler!A:B,2,0)</f>
      </c>
    </row>
    <row r="14" spans="1:5">
      <c r="B14" s="9" t="s">
        <v>144</v>
      </c>
      <c r="C14" s="9" t="str">
        <f>VLOOKUP(B14,'Soru Listesi'!A:C,3,0)</f>
      </c>
      <c r="D14" s="9">
        <f>VLOOKUP(B14,Veriler!A:B,2,0)</f>
      </c>
    </row>
    <row r="15" spans="1:5">
      <c r="B15" s="9" t="s">
        <v>146</v>
      </c>
      <c r="C15" s="9" t="str">
        <f>VLOOKUP(B15,'Soru Listesi'!A:C,3,0)</f>
      </c>
      <c r="D15" s="9">
        <f>VLOOKUP(B15,Veriler!A:B,2,0)</f>
      </c>
    </row>
    <row r="16" spans="1:5">
      <c r="B16" s="9" t="s">
        <v>149</v>
      </c>
      <c r="C16" s="9" t="str">
        <f>VLOOKUP(B16,'Soru Listesi'!A:C,3,0)</f>
      </c>
      <c r="D16" s="9">
        <f>VLOOKUP(B16,Veriler!A:B,2,0)</f>
      </c>
    </row>
    <row r="17" spans="2:4">
      <c r="B17" s="9" t="s">
        <v>569</v>
      </c>
      <c r="C17" s="9" t="str">
        <f>VLOOKUP(B17,'Soru Listesi'!A:C,3,0)</f>
      </c>
      <c r="D17" s="9">
        <f>VLOOKUP(B17,Veriler!A:B,2,0)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B2:N27"/>
  <sheetViews>
    <sheetView zoomScale="70" zoomScaleNormal="70" workbookViewId="0">
      <selection activeCell="C2" sqref="C2:N23"/>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ayfa24">
    <pageSetUpPr fitToPage="1"/>
  </sheetPr>
  <dimension ref="A1:E19"/>
  <sheetViews>
    <sheetView zoomScale="70" zoomScaleNormal="70" workbookViewId="0">
      <selection activeCell="I5" sqref="I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151</v>
      </c>
      <c r="B3" s="7" t="str">
        <f>VLOOKUP(A3,'Soru Listesi'!A:G,3,0)</f>
      </c>
      <c r="C3" s="124" t="str">
        <f>VLOOKUP(A3,Veriler!A:D,4,0)</f>
      </c>
      <c r="D3" s="124" t="str">
        <f>VLOOKUP(A3,'Soru Listesi'!A:G,5,0)</f>
      </c>
      <c r="E3" s="90"/>
    </row>
    <row r="4" spans="1:5" ht="138" customHeight="1">
      <c r="A4" s="4" t="s">
        <v>155</v>
      </c>
      <c r="B4" s="7" t="str">
        <f>VLOOKUP(A4,'Soru Listesi'!A:G,3,0)</f>
      </c>
      <c r="C4" s="124" t="str">
        <f>VLOOKUP(A4,Veriler!A:D,4,0)</f>
      </c>
      <c r="D4" s="124" t="str">
        <f>VLOOKUP(A4,'Soru Listesi'!A:G,5,0)</f>
      </c>
      <c r="E4" s="90"/>
    </row>
    <row r="5" spans="1:5" ht="138" customHeight="1">
      <c r="A5" s="4" t="s">
        <v>157</v>
      </c>
      <c r="B5" s="7" t="str">
        <f>VLOOKUP(A5,'Soru Listesi'!A:G,3,0)</f>
      </c>
      <c r="C5" s="124" t="str">
        <f>VLOOKUP(A5,Veriler!A:D,4,0)</f>
      </c>
      <c r="D5" s="124" t="str">
        <f>VLOOKUP(A5,'Soru Listesi'!A:G,5,0)</f>
      </c>
      <c r="E5" s="90"/>
    </row>
    <row r="6" spans="1:5" ht="138" customHeight="1">
      <c r="A6" s="4" t="s">
        <v>159</v>
      </c>
      <c r="B6" s="7" t="str">
        <f>VLOOKUP(A6,'Soru Listesi'!A:G,3,0)</f>
      </c>
      <c r="C6" s="124" t="str">
        <f>VLOOKUP(A6,Veriler!A:D,4,0)</f>
      </c>
      <c r="D6" s="124" t="str">
        <f>VLOOKUP(A6,'Soru Listesi'!A:G,5,0)</f>
      </c>
      <c r="E6" s="90"/>
    </row>
    <row r="7" spans="1:5" ht="138" customHeight="1">
      <c r="A7" s="4" t="s">
        <v>162</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151</v>
      </c>
      <c r="C11" s="9" t="str">
        <f>VLOOKUP(B11,'Soru Listesi'!A:C,3,0)</f>
      </c>
      <c r="D11" s="9">
        <f>VLOOKUP(B11,Veriler!A:B,2,0)</f>
      </c>
    </row>
    <row r="12" spans="1:5">
      <c r="B12" s="9" t="s">
        <v>155</v>
      </c>
      <c r="C12" s="9" t="str">
        <f>VLOOKUP(B12,'Soru Listesi'!A:C,3,0)</f>
      </c>
      <c r="D12" s="9">
        <f>VLOOKUP(B12,Veriler!A:B,2,0)</f>
      </c>
    </row>
    <row r="13" spans="1:5">
      <c r="B13" s="9" t="s">
        <v>157</v>
      </c>
      <c r="C13" s="9" t="str">
        <f>VLOOKUP(B13,'Soru Listesi'!A:C,3,0)</f>
      </c>
      <c r="D13" s="9">
        <f>VLOOKUP(B13,Veriler!A:B,2,0)</f>
      </c>
    </row>
    <row r="14" spans="1:5">
      <c r="B14" s="9" t="s">
        <v>159</v>
      </c>
      <c r="C14" s="9" t="str">
        <f>VLOOKUP(B14,'Soru Listesi'!A:C,3,0)</f>
      </c>
      <c r="D14" s="9">
        <f>VLOOKUP(B14,Veriler!A:B,2,0)</f>
      </c>
    </row>
    <row r="15" spans="1:5">
      <c r="B15" s="9" t="s">
        <v>162</v>
      </c>
      <c r="C15" s="9" t="str">
        <f>VLOOKUP(B15,'Soru Listesi'!A:C,3,0)</f>
      </c>
      <c r="D15" s="9">
        <f>VLOOKUP(B15,Veriler!A:B,2,0)</f>
      </c>
    </row>
    <row r="16" spans="1:5">
      <c r="B16" s="9" t="s">
        <v>570</v>
      </c>
      <c r="C16" s="9" t="str">
        <f>VLOOKUP(B16,'Soru Listesi'!A:C,3,0)</f>
      </c>
      <c r="D16" s="9">
        <f>VLOOKUP(B16,Veriler!A:B,2,0)</f>
      </c>
    </row>
    <row r="17" spans="2:4">
      <c r="B17" s="9" t="s">
        <v>548</v>
      </c>
      <c r="C17" s="9" t="str">
        <f>VLOOKUP(B17,'Soru Listesi'!A:C,3,0)</f>
      </c>
      <c r="D17" s="9">
        <f>VLOOKUP(B17,Veriler!A:B,2,0)</f>
      </c>
    </row>
    <row r="18" spans="2:4">
      <c r="B18" s="9" t="s">
        <v>549</v>
      </c>
      <c r="C18" s="9" t="str">
        <f>VLOOKUP(B18,'Soru Listesi'!A:C,3,0)</f>
      </c>
      <c r="D18" s="9">
        <f>VLOOKUP(B18,Veriler!A:B,2,0)</f>
      </c>
    </row>
    <row r="19" spans="2:4">
      <c r="B19" s="9" t="s">
        <v>550</v>
      </c>
      <c r="C19" s="9" t="str">
        <f>VLOOKUP(B19,'Soru Listesi'!A:C,3,0)</f>
      </c>
      <c r="D19" s="9">
        <f>VLOOKUP(B19,Veriler!A:B,2,0)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ayfa25">
    <pageSetUpPr fitToPage="1"/>
  </sheetPr>
  <dimension ref="A1:E19"/>
  <sheetViews>
    <sheetView zoomScale="70" zoomScaleNormal="70" workbookViewId="0">
      <selection activeCell="I5" sqref="I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570</v>
      </c>
      <c r="B3" s="7" t="str">
        <f>VLOOKUP(A3,'Soru Listesi'!A:G,3,0)</f>
      </c>
      <c r="C3" s="124" t="str">
        <f>VLOOKUP(A3,Veriler!A:D,4,0)</f>
      </c>
      <c r="D3" s="124" t="str">
        <f>VLOOKUP(A3,'Soru Listesi'!A:G,5,0)</f>
      </c>
      <c r="E3" s="90"/>
    </row>
    <row r="4" spans="1:5" ht="138" customHeight="1">
      <c r="A4" s="4" t="s">
        <v>548</v>
      </c>
      <c r="B4" s="7" t="str">
        <f>VLOOKUP(A4,'Soru Listesi'!A:G,3,0)</f>
      </c>
      <c r="C4" s="124" t="str">
        <f>VLOOKUP(A4,Veriler!A:D,4,0)</f>
      </c>
      <c r="D4" s="124" t="str">
        <f>VLOOKUP(A4,'Soru Listesi'!A:G,5,0)</f>
      </c>
      <c r="E4" s="90"/>
    </row>
    <row r="5" spans="1:5" ht="138" customHeight="1">
      <c r="A5" s="4" t="s">
        <v>549</v>
      </c>
      <c r="B5" s="7" t="str">
        <f>VLOOKUP(A5,'Soru Listesi'!A:G,3,0)</f>
      </c>
      <c r="C5" s="124" t="str">
        <f>VLOOKUP(A5,Veriler!A:D,4,0)</f>
      </c>
      <c r="D5" s="124" t="str">
        <f>VLOOKUP(A5,'Soru Listesi'!A:G,5,0)</f>
      </c>
      <c r="E5" s="90"/>
    </row>
    <row r="6" spans="1:5" ht="138" customHeight="1">
      <c r="A6" s="4" t="s">
        <v>550</v>
      </c>
      <c r="B6" s="12" t="str">
        <f>VLOOKUP(A6,'Soru Listesi'!A:G,3,0)</f>
      </c>
      <c r="C6" s="129" t="str">
        <f>VLOOKUP(A6,Veriler!A:D,4,0)</f>
      </c>
      <c r="D6" s="129" t="str">
        <f>VLOOKUP(A6,'Soru Listesi'!A:G,5,0)</f>
      </c>
      <c r="E6" s="90"/>
    </row>
    <row r="7" spans="1:5" ht="138" customHeight="1">
      <c r="A7" s="4"/>
      <c r="B7" s="7"/>
      <c r="C7" s="6"/>
      <c r="D7" s="6"/>
      <c r="E7" s="92"/>
    </row>
    <row r="9" spans="1:5">
      <c r="C9" s="5"/>
    </row>
    <row r="10" spans="1:5">
      <c r="B10" s="10" t="s">
        <v>299</v>
      </c>
      <c r="C10" s="10" t="s">
        <v>9</v>
      </c>
      <c r="D10" s="10" t="s">
        <v>1</v>
      </c>
    </row>
    <row r="11" spans="1:5">
      <c r="B11" s="9" t="s">
        <v>151</v>
      </c>
      <c r="C11" s="9" t="str">
        <f>VLOOKUP(B11,'Soru Listesi'!A:C,3,0)</f>
      </c>
      <c r="D11" s="9">
        <f>VLOOKUP(B11,Veriler!A:B,2,0)</f>
      </c>
    </row>
    <row r="12" spans="1:5">
      <c r="B12" s="9" t="s">
        <v>155</v>
      </c>
      <c r="C12" s="9" t="str">
        <f>VLOOKUP(B12,'Soru Listesi'!A:C,3,0)</f>
      </c>
      <c r="D12" s="9">
        <f>VLOOKUP(B12,Veriler!A:B,2,0)</f>
      </c>
    </row>
    <row r="13" spans="1:5">
      <c r="B13" s="9" t="s">
        <v>157</v>
      </c>
      <c r="C13" s="9" t="str">
        <f>VLOOKUP(B13,'Soru Listesi'!A:C,3,0)</f>
      </c>
      <c r="D13" s="9">
        <f>VLOOKUP(B13,Veriler!A:B,2,0)</f>
      </c>
    </row>
    <row r="14" spans="1:5">
      <c r="B14" s="9" t="s">
        <v>159</v>
      </c>
      <c r="C14" s="9" t="str">
        <f>VLOOKUP(B14,'Soru Listesi'!A:C,3,0)</f>
      </c>
      <c r="D14" s="9">
        <f>VLOOKUP(B14,Veriler!A:B,2,0)</f>
      </c>
    </row>
    <row r="15" spans="1:5">
      <c r="B15" s="9" t="s">
        <v>162</v>
      </c>
      <c r="C15" s="9" t="str">
        <f>VLOOKUP(B15,'Soru Listesi'!A:C,3,0)</f>
      </c>
      <c r="D15" s="9">
        <f>VLOOKUP(B15,Veriler!A:B,2,0)</f>
      </c>
    </row>
    <row r="16" spans="1:5">
      <c r="B16" s="9" t="s">
        <v>570</v>
      </c>
      <c r="C16" s="9" t="str">
        <f>VLOOKUP(B16,'Soru Listesi'!A:C,3,0)</f>
      </c>
      <c r="D16" s="9">
        <f>VLOOKUP(B16,Veriler!A:B,2,0)</f>
      </c>
    </row>
    <row r="17" spans="2:4">
      <c r="B17" s="9" t="s">
        <v>548</v>
      </c>
      <c r="C17" s="9" t="str">
        <f>VLOOKUP(B17,'Soru Listesi'!A:C,3,0)</f>
      </c>
      <c r="D17" s="9">
        <f>VLOOKUP(B17,Veriler!A:B,2,0)</f>
      </c>
    </row>
    <row r="18" spans="2:4">
      <c r="B18" s="9" t="s">
        <v>549</v>
      </c>
      <c r="C18" s="9" t="str">
        <f>VLOOKUP(B18,'Soru Listesi'!A:C,3,0)</f>
      </c>
      <c r="D18" s="9">
        <f>VLOOKUP(B18,Veriler!A:B,2,0)</f>
      </c>
    </row>
    <row r="19" spans="2:4">
      <c r="B19" s="9" t="s">
        <v>550</v>
      </c>
      <c r="C19" s="9" t="str">
        <f>VLOOKUP(B19,'Soru Listesi'!A:C,3,0)</f>
      </c>
      <c r="D19" s="9">
        <f>VLOOKUP(B19,Veriler!A:B,2,0)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B2:N27"/>
  <sheetViews>
    <sheetView zoomScale="70" zoomScaleNormal="70" workbookViewId="0">
      <selection activeCell="C2" sqref="C2:N23"/>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ayfa26">
    <pageSetUpPr fitToPage="1"/>
  </sheetPr>
  <dimension ref="A1:E19"/>
  <sheetViews>
    <sheetView zoomScale="70" zoomScaleNormal="70" workbookViewId="0">
      <selection activeCell="N5" sqref="N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164</v>
      </c>
      <c r="B3" s="7" t="str">
        <f>VLOOKUP(A3,'Soru Listesi'!A:G,3,0)</f>
      </c>
      <c r="C3" s="124" t="str">
        <f>VLOOKUP(A3,Veriler!A:D,4,0)</f>
      </c>
      <c r="D3" s="124" t="str">
        <f>VLOOKUP(A3,'Soru Listesi'!A:G,5,0)</f>
      </c>
      <c r="E3" s="90"/>
    </row>
    <row r="4" spans="1:5" ht="138" customHeight="1">
      <c r="A4" s="4" t="s">
        <v>169</v>
      </c>
      <c r="B4" s="7" t="str">
        <f>VLOOKUP(A4,'Soru Listesi'!A:G,3,0)</f>
      </c>
      <c r="C4" s="124" t="str">
        <f>VLOOKUP(A4,Veriler!A:D,4,0)</f>
      </c>
      <c r="D4" s="124" t="str">
        <f>VLOOKUP(A4,'Soru Listesi'!A:G,5,0)</f>
      </c>
      <c r="E4" s="90"/>
    </row>
    <row r="5" spans="1:5" ht="138" customHeight="1">
      <c r="A5" s="4" t="s">
        <v>171</v>
      </c>
      <c r="B5" s="7" t="str">
        <f>VLOOKUP(A5,'Soru Listesi'!A:G,3,0)</f>
      </c>
      <c r="C5" s="124" t="str">
        <f>VLOOKUP(A5,Veriler!A:D,4,0)</f>
      </c>
      <c r="D5" s="124" t="str">
        <f>VLOOKUP(A5,'Soru Listesi'!A:G,5,0)</f>
      </c>
      <c r="E5" s="90"/>
    </row>
    <row r="6" spans="1:5" ht="138" customHeight="1">
      <c r="A6" s="4" t="s">
        <v>174</v>
      </c>
      <c r="B6" s="7" t="str">
        <f>VLOOKUP(A6,'Soru Listesi'!A:G,3,0)</f>
      </c>
      <c r="C6" s="124" t="str">
        <f>VLOOKUP(A6,Veriler!A:D,4,0)</f>
      </c>
      <c r="D6" s="124" t="str">
        <f>VLOOKUP(A6,'Soru Listesi'!A:G,5,0)</f>
      </c>
      <c r="E6" s="90"/>
    </row>
    <row r="7" spans="1:5" ht="138" customHeight="1">
      <c r="A7" s="4" t="s">
        <v>177</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164</v>
      </c>
      <c r="C11" s="9" t="str">
        <f>VLOOKUP(B11,'Soru Listesi'!A:C,3,0)</f>
      </c>
      <c r="D11" s="9">
        <f>VLOOKUP(B11,Veriler!A:B,2,0)</f>
      </c>
    </row>
    <row r="12" spans="1:5">
      <c r="B12" s="9" t="s">
        <v>169</v>
      </c>
      <c r="C12" s="9" t="str">
        <f>VLOOKUP(B12,'Soru Listesi'!A:C,3,0)</f>
      </c>
      <c r="D12" s="9">
        <f>VLOOKUP(B12,Veriler!A:B,2,0)</f>
      </c>
    </row>
    <row r="13" spans="1:5">
      <c r="B13" s="9" t="s">
        <v>171</v>
      </c>
      <c r="C13" s="9" t="str">
        <f>VLOOKUP(B13,'Soru Listesi'!A:C,3,0)</f>
      </c>
      <c r="D13" s="9">
        <f>VLOOKUP(B13,Veriler!A:B,2,0)</f>
      </c>
    </row>
    <row r="14" spans="1:5">
      <c r="B14" s="9" t="s">
        <v>174</v>
      </c>
      <c r="C14" s="9" t="str">
        <f>VLOOKUP(B14,'Soru Listesi'!A:C,3,0)</f>
      </c>
      <c r="D14" s="9">
        <f>VLOOKUP(B14,Veriler!A:B,2,0)</f>
      </c>
    </row>
    <row r="15" spans="1:5">
      <c r="B15" s="9" t="s">
        <v>177</v>
      </c>
      <c r="C15" s="9" t="str">
        <f>VLOOKUP(B15,'Soru Listesi'!A:C,3,0)</f>
      </c>
      <c r="D15" s="9">
        <f>VLOOKUP(B15,Veriler!A:B,2,0)</f>
      </c>
    </row>
    <row r="16" spans="1:5">
      <c r="B16" s="9" t="s">
        <v>180</v>
      </c>
      <c r="C16" s="9" t="str">
        <f>VLOOKUP(B16,'Soru Listesi'!A:C,3,0)</f>
      </c>
      <c r="D16" s="9">
        <f>VLOOKUP(B16,Veriler!A:B,2,0)</f>
      </c>
    </row>
    <row r="17" spans="2:4">
      <c r="B17" s="9" t="s">
        <v>551</v>
      </c>
      <c r="C17" s="9" t="str">
        <f>VLOOKUP(B17,'Soru Listesi'!A:C,3,0)</f>
      </c>
      <c r="D17" s="9">
        <f>VLOOKUP(B17,Veriler!A:B,2,0)</f>
      </c>
    </row>
    <row r="18" spans="2:4">
      <c r="B18" s="9" t="s">
        <v>552</v>
      </c>
      <c r="C18" s="9" t="str">
        <f>VLOOKUP(B18,'Soru Listesi'!A:C,3,0)</f>
      </c>
      <c r="D18" s="9">
        <f>VLOOKUP(B18,Veriler!A:B,2,0)</f>
      </c>
    </row>
    <row r="19" spans="2:4">
      <c r="B19" s="9" t="s">
        <v>553</v>
      </c>
      <c r="C19" s="9" t="str">
        <f>VLOOKUP(B19,'Soru Listesi'!A:C,3,0)</f>
      </c>
      <c r="D19" s="9">
        <f>VLOOKUP(B19,Veriler!A:B,2,0)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ayfa27">
    <pageSetUpPr fitToPage="1"/>
  </sheetPr>
  <dimension ref="A1:E19"/>
  <sheetViews>
    <sheetView zoomScale="70" zoomScaleNormal="70" workbookViewId="0">
      <selection activeCell="J4" sqref="J4"/>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180</v>
      </c>
      <c r="B3" s="7" t="str">
        <f>VLOOKUP(A3,'Soru Listesi'!A:G,3,0)</f>
      </c>
      <c r="C3" s="124" t="str">
        <f>VLOOKUP(A3,Veriler!A:D,4,0)</f>
      </c>
      <c r="D3" s="124" t="str">
        <f>VLOOKUP(A3,'Soru Listesi'!A:G,5,0)</f>
      </c>
      <c r="E3" s="90"/>
    </row>
    <row r="4" spans="1:5" ht="138" customHeight="1">
      <c r="A4" s="4" t="s">
        <v>551</v>
      </c>
      <c r="B4" s="7" t="str">
        <f>VLOOKUP(A4,'Soru Listesi'!A:G,3,0)</f>
      </c>
      <c r="C4" s="124" t="str">
        <f>VLOOKUP(A4,Veriler!A:D,4,0)</f>
      </c>
      <c r="D4" s="124" t="str">
        <f>VLOOKUP(A4,'Soru Listesi'!A:G,5,0)</f>
      </c>
      <c r="E4" s="90"/>
    </row>
    <row r="5" spans="1:5" ht="138" customHeight="1">
      <c r="A5" s="4" t="s">
        <v>552</v>
      </c>
      <c r="B5" s="7" t="str">
        <f>VLOOKUP(A5,'Soru Listesi'!A:G,3,0)</f>
      </c>
      <c r="C5" s="124" t="str">
        <f>VLOOKUP(A5,Veriler!A:D,4,0)</f>
      </c>
      <c r="D5" s="124" t="str">
        <f>VLOOKUP(A5,'Soru Listesi'!A:G,5,0)</f>
      </c>
      <c r="E5" s="90"/>
    </row>
    <row r="6" spans="1:5" ht="138" customHeight="1">
      <c r="A6" s="4" t="s">
        <v>553</v>
      </c>
      <c r="B6" s="12" t="str">
        <f>VLOOKUP(A6,'Soru Listesi'!A:G,3,0)</f>
      </c>
      <c r="C6" s="129" t="str">
        <f>VLOOKUP(A6,Veriler!A:D,4,0)</f>
      </c>
      <c r="D6" s="129" t="str">
        <f>VLOOKUP(A6,'Soru Listesi'!A:G,5,0)</f>
      </c>
      <c r="E6" s="90"/>
    </row>
    <row r="7" spans="1:5" ht="138" customHeight="1">
      <c r="A7" s="4"/>
      <c r="B7" s="7"/>
      <c r="C7" s="6"/>
      <c r="D7" s="6"/>
      <c r="E7" s="92"/>
    </row>
    <row r="9" spans="1:5">
      <c r="C9" s="5"/>
    </row>
    <row r="10" spans="1:5">
      <c r="B10" s="10" t="s">
        <v>299</v>
      </c>
      <c r="C10" s="10" t="s">
        <v>9</v>
      </c>
      <c r="D10" s="10" t="s">
        <v>1</v>
      </c>
    </row>
    <row r="11" spans="1:5">
      <c r="B11" s="9" t="s">
        <v>164</v>
      </c>
      <c r="C11" s="9" t="str">
        <f>VLOOKUP(B11,'Soru Listesi'!A:C,3,0)</f>
      </c>
      <c r="D11" s="9">
        <f>VLOOKUP(B11,Veriler!A:B,2,0)</f>
      </c>
    </row>
    <row r="12" spans="1:5">
      <c r="B12" s="9" t="s">
        <v>169</v>
      </c>
      <c r="C12" s="9" t="str">
        <f>VLOOKUP(B12,'Soru Listesi'!A:C,3,0)</f>
      </c>
      <c r="D12" s="9">
        <f>VLOOKUP(B12,Veriler!A:B,2,0)</f>
      </c>
    </row>
    <row r="13" spans="1:5">
      <c r="B13" s="9" t="s">
        <v>171</v>
      </c>
      <c r="C13" s="9" t="str">
        <f>VLOOKUP(B13,'Soru Listesi'!A:C,3,0)</f>
      </c>
      <c r="D13" s="9">
        <f>VLOOKUP(B13,Veriler!A:B,2,0)</f>
      </c>
    </row>
    <row r="14" spans="1:5">
      <c r="B14" s="9" t="s">
        <v>174</v>
      </c>
      <c r="C14" s="9" t="str">
        <f>VLOOKUP(B14,'Soru Listesi'!A:C,3,0)</f>
      </c>
      <c r="D14" s="9">
        <f>VLOOKUP(B14,Veriler!A:B,2,0)</f>
      </c>
    </row>
    <row r="15" spans="1:5">
      <c r="B15" s="9" t="s">
        <v>177</v>
      </c>
      <c r="C15" s="9" t="str">
        <f>VLOOKUP(B15,'Soru Listesi'!A:C,3,0)</f>
      </c>
      <c r="D15" s="9">
        <f>VLOOKUP(B15,Veriler!A:B,2,0)</f>
      </c>
    </row>
    <row r="16" spans="1:5">
      <c r="B16" s="9" t="s">
        <v>180</v>
      </c>
      <c r="C16" s="9" t="str">
        <f>VLOOKUP(B16,'Soru Listesi'!A:C,3,0)</f>
      </c>
      <c r="D16" s="9">
        <f>VLOOKUP(B16,Veriler!A:B,2,0)</f>
      </c>
    </row>
    <row r="17" spans="2:4">
      <c r="B17" s="9" t="s">
        <v>551</v>
      </c>
      <c r="C17" s="9" t="str">
        <f>VLOOKUP(B17,'Soru Listesi'!A:C,3,0)</f>
      </c>
      <c r="D17" s="9">
        <f>VLOOKUP(B17,Veriler!A:B,2,0)</f>
      </c>
    </row>
    <row r="18" spans="2:4">
      <c r="B18" s="9" t="s">
        <v>552</v>
      </c>
      <c r="C18" s="9" t="str">
        <f>VLOOKUP(B18,'Soru Listesi'!A:C,3,0)</f>
      </c>
      <c r="D18" s="9">
        <f>VLOOKUP(B18,Veriler!A:B,2,0)</f>
      </c>
    </row>
    <row r="19" spans="2:4">
      <c r="B19" s="9" t="s">
        <v>553</v>
      </c>
      <c r="C19" s="9" t="str">
        <f>VLOOKUP(B19,'Soru Listesi'!A:C,3,0)</f>
      </c>
      <c r="D19" s="9">
        <f>VLOOKUP(B19,Veriler!A:B,2,0)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B2:N27"/>
  <sheetViews>
    <sheetView zoomScale="70" zoomScaleNormal="70" workbookViewId="0">
      <selection activeCell="C2" sqref="C2:N23"/>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ayfa28">
    <pageSetUpPr fitToPage="1"/>
  </sheetPr>
  <dimension ref="A1:E19"/>
  <sheetViews>
    <sheetView zoomScale="70" zoomScaleNormal="70" workbookViewId="0">
      <selection activeCell="J6" sqref="J6"/>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183</v>
      </c>
      <c r="B3" s="7" t="str">
        <f>VLOOKUP(A3,'Soru Listesi'!A:G,3,0)</f>
      </c>
      <c r="C3" s="132" t="str">
        <f>VLOOKUP(A3,Veriler!A:D,4,0)</f>
      </c>
      <c r="D3" s="132" t="str">
        <f>VLOOKUP(A3,'Soru Listesi'!A:G,5,0)</f>
      </c>
      <c r="E3" s="90"/>
    </row>
    <row r="4" spans="1:5" ht="138" customHeight="1">
      <c r="A4" s="4" t="s">
        <v>188</v>
      </c>
      <c r="B4" s="7" t="str">
        <f>VLOOKUP(A4,'Soru Listesi'!A:G,3,0)</f>
      </c>
      <c r="C4" s="132" t="str">
        <f>VLOOKUP(A4,Veriler!A:D,4,0)</f>
      </c>
      <c r="D4" s="132" t="str">
        <f>VLOOKUP(A4,'Soru Listesi'!A:G,5,0)</f>
      </c>
      <c r="E4" s="90"/>
    </row>
    <row r="5" spans="1:5" ht="138" customHeight="1">
      <c r="A5" s="4" t="s">
        <v>192</v>
      </c>
      <c r="B5" s="7" t="str">
        <f>VLOOKUP(A5,'Soru Listesi'!A:G,3,0)</f>
      </c>
      <c r="C5" s="132" t="str">
        <f>VLOOKUP(A5,Veriler!A:D,4,0)</f>
      </c>
      <c r="D5" s="132" t="str">
        <f>VLOOKUP(A5,'Soru Listesi'!A:G,5,0)</f>
      </c>
      <c r="E5" s="90"/>
    </row>
    <row r="6" spans="1:5" ht="138" customHeight="1">
      <c r="A6" s="4" t="s">
        <v>194</v>
      </c>
      <c r="B6" s="7" t="str">
        <f>VLOOKUP(A6,'Soru Listesi'!A:G,3,0)</f>
      </c>
      <c r="C6" s="132" t="str">
        <f>VLOOKUP(A6,Veriler!A:D,4,0)</f>
      </c>
      <c r="D6" s="132" t="str">
        <f>VLOOKUP(A6,'Soru Listesi'!A:G,5,0)</f>
      </c>
      <c r="E6" s="90"/>
    </row>
    <row r="7" spans="1:5" ht="138" customHeight="1">
      <c r="A7" s="4" t="s">
        <v>196</v>
      </c>
      <c r="B7" s="7" t="str">
        <f>VLOOKUP(A7,'Soru Listesi'!A:G,3,0)</f>
      </c>
      <c r="C7" s="132" t="str">
        <f>VLOOKUP(A7,Veriler!A:D,4,0)</f>
      </c>
      <c r="D7" s="132" t="str">
        <f>VLOOKUP(A7,'Soru Listesi'!A:G,5,0)</f>
      </c>
      <c r="E7" s="90"/>
    </row>
    <row r="9" spans="1:5">
      <c r="C9" s="5"/>
    </row>
    <row r="10" spans="1:5">
      <c r="B10" s="10" t="s">
        <v>299</v>
      </c>
      <c r="C10" s="10" t="s">
        <v>9</v>
      </c>
      <c r="D10" s="10" t="s">
        <v>1</v>
      </c>
    </row>
    <row r="11" spans="1:5">
      <c r="B11" s="9" t="s">
        <v>183</v>
      </c>
      <c r="C11" s="9" t="str">
        <f>VLOOKUP(B11,'Soru Listesi'!A:C,3,0)</f>
      </c>
      <c r="D11" s="9">
        <f>VLOOKUP(B11,Veriler!A:B,2,0)</f>
      </c>
    </row>
    <row r="12" spans="1:5">
      <c r="B12" s="9" t="s">
        <v>188</v>
      </c>
      <c r="C12" s="9" t="str">
        <f>VLOOKUP(B12,'Soru Listesi'!A:C,3,0)</f>
      </c>
      <c r="D12" s="9">
        <f>VLOOKUP(B12,Veriler!A:B,2,0)</f>
      </c>
    </row>
    <row r="13" spans="1:5">
      <c r="B13" s="9" t="s">
        <v>192</v>
      </c>
      <c r="C13" s="9" t="str">
        <f>VLOOKUP(B13,'Soru Listesi'!A:C,3,0)</f>
      </c>
      <c r="D13" s="9">
        <f>VLOOKUP(B13,Veriler!A:B,2,0)</f>
      </c>
    </row>
    <row r="14" spans="1:5">
      <c r="B14" s="9" t="s">
        <v>194</v>
      </c>
      <c r="C14" s="9" t="str">
        <f>VLOOKUP(B14,'Soru Listesi'!A:C,3,0)</f>
      </c>
      <c r="D14" s="9">
        <f>VLOOKUP(B14,Veriler!A:B,2,0)</f>
      </c>
    </row>
    <row r="15" spans="1:5">
      <c r="B15" s="9" t="s">
        <v>196</v>
      </c>
      <c r="C15" s="9" t="str">
        <f>VLOOKUP(B15,'Soru Listesi'!A:C,3,0)</f>
      </c>
      <c r="D15" s="9">
        <f>VLOOKUP(B15,Veriler!A:B,2,0)</f>
      </c>
    </row>
    <row r="16" spans="1:5">
      <c r="B16" s="9" t="s">
        <v>198</v>
      </c>
      <c r="C16" s="9" t="str">
        <f>VLOOKUP(B16,'Soru Listesi'!A:C,3,0)</f>
      </c>
      <c r="D16" s="9">
        <f>VLOOKUP(B16,Veriler!A:B,2,0)</f>
      </c>
    </row>
    <row r="17" spans="2:4">
      <c r="B17" s="9" t="s">
        <v>200</v>
      </c>
      <c r="C17" s="9" t="str">
        <f>VLOOKUP(B17,'Soru Listesi'!A:C,3,0)</f>
      </c>
      <c r="D17" s="9">
        <f>VLOOKUP(B17,Veriler!A:B,2,0)</f>
      </c>
    </row>
    <row r="18" spans="2:4">
      <c r="B18" s="9" t="s">
        <v>203</v>
      </c>
      <c r="C18" s="9" t="str">
        <f>VLOOKUP(B18,'Soru Listesi'!A:C,3,0)</f>
      </c>
      <c r="D18" s="9">
        <f>VLOOKUP(B18,Veriler!A:B,2,0)</f>
      </c>
    </row>
    <row r="19" spans="2:4">
      <c r="B19" s="9" t="s">
        <v>554</v>
      </c>
      <c r="C19" s="9" t="str">
        <f>VLOOKUP(B19,'Soru Listesi'!A:C,3,0)</f>
      </c>
      <c r="D19" s="9">
        <f>VLOOKUP(B19,Veriler!A:B,2,0)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ayfa29">
    <pageSetUpPr fitToPage="1"/>
  </sheetPr>
  <dimension ref="A1:E19"/>
  <sheetViews>
    <sheetView zoomScale="70" zoomScaleNormal="70" workbookViewId="0">
      <selection activeCell="H5" sqref="H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198</v>
      </c>
      <c r="B3" s="7" t="str">
        <f>VLOOKUP(A3,'Soru Listesi'!A:G,3,0)</f>
      </c>
      <c r="C3" s="124" t="str">
        <f>VLOOKUP(A3,Veriler!A:D,4,0)</f>
      </c>
      <c r="D3" s="124" t="str">
        <f>VLOOKUP(A3,'Soru Listesi'!A:G,5,0)</f>
      </c>
      <c r="E3" s="90"/>
    </row>
    <row r="4" spans="1:5" ht="138" customHeight="1">
      <c r="A4" s="4" t="s">
        <v>200</v>
      </c>
      <c r="B4" s="7" t="str">
        <f>VLOOKUP(A4,'Soru Listesi'!A:G,3,0)</f>
      </c>
      <c r="C4" s="124" t="str">
        <f>VLOOKUP(A4,Veriler!A:D,4,0)</f>
      </c>
      <c r="D4" s="124" t="str">
        <f>VLOOKUP(A4,'Soru Listesi'!A:G,5,0)</f>
      </c>
      <c r="E4" s="90"/>
    </row>
    <row r="5" spans="1:5" ht="138" customHeight="1">
      <c r="A5" s="4" t="s">
        <v>203</v>
      </c>
      <c r="B5" s="7" t="str">
        <f>VLOOKUP(A5,'Soru Listesi'!A:G,3,0)</f>
      </c>
      <c r="C5" s="124" t="str">
        <f>VLOOKUP(A5,Veriler!A:D,4,0)</f>
      </c>
      <c r="D5" s="124" t="str">
        <f>VLOOKUP(A5,'Soru Listesi'!A:G,5,0)</f>
      </c>
      <c r="E5" s="90"/>
    </row>
    <row r="6" spans="1:5" ht="138" customHeight="1">
      <c r="A6" s="4" t="s">
        <v>554</v>
      </c>
      <c r="B6" s="12" t="str">
        <f>VLOOKUP(A6,'Soru Listesi'!A:G,3,0)</f>
      </c>
      <c r="C6" s="129" t="str">
        <f>VLOOKUP(A6,Veriler!A:D,4,0)</f>
      </c>
      <c r="D6" s="129" t="str">
        <f>VLOOKUP(A6,'Soru Listesi'!A:G,5,0)</f>
      </c>
      <c r="E6" s="90"/>
    </row>
    <row r="7" spans="1:5" ht="138" customHeight="1">
      <c r="A7" s="4"/>
      <c r="B7" s="17"/>
      <c r="C7" s="6"/>
      <c r="D7" s="6"/>
      <c r="E7" s="92"/>
    </row>
    <row r="9" spans="1:5">
      <c r="C9" s="5"/>
    </row>
    <row r="10" spans="1:5">
      <c r="B10" s="10" t="s">
        <v>299</v>
      </c>
      <c r="C10" s="10" t="s">
        <v>9</v>
      </c>
      <c r="D10" s="10" t="s">
        <v>1</v>
      </c>
    </row>
    <row r="11" spans="1:5">
      <c r="B11" s="9" t="s">
        <v>183</v>
      </c>
      <c r="C11" s="9" t="str">
        <f>VLOOKUP(B11,'Soru Listesi'!A:C,3,0)</f>
      </c>
      <c r="D11" s="9">
        <f>VLOOKUP(B11,Veriler!A:B,2,0)</f>
      </c>
    </row>
    <row r="12" spans="1:5">
      <c r="B12" s="9" t="s">
        <v>188</v>
      </c>
      <c r="C12" s="9" t="str">
        <f>VLOOKUP(B12,'Soru Listesi'!A:C,3,0)</f>
      </c>
      <c r="D12" s="9">
        <f>VLOOKUP(B12,Veriler!A:B,2,0)</f>
      </c>
    </row>
    <row r="13" spans="1:5">
      <c r="B13" s="9" t="s">
        <v>192</v>
      </c>
      <c r="C13" s="9" t="str">
        <f>VLOOKUP(B13,'Soru Listesi'!A:C,3,0)</f>
      </c>
      <c r="D13" s="9">
        <f>VLOOKUP(B13,Veriler!A:B,2,0)</f>
      </c>
    </row>
    <row r="14" spans="1:5">
      <c r="B14" s="9" t="s">
        <v>194</v>
      </c>
      <c r="C14" s="9" t="str">
        <f>VLOOKUP(B14,'Soru Listesi'!A:C,3,0)</f>
      </c>
      <c r="D14" s="9">
        <f>VLOOKUP(B14,Veriler!A:B,2,0)</f>
      </c>
    </row>
    <row r="15" spans="1:5">
      <c r="B15" s="9" t="s">
        <v>196</v>
      </c>
      <c r="C15" s="9" t="str">
        <f>VLOOKUP(B15,'Soru Listesi'!A:C,3,0)</f>
      </c>
      <c r="D15" s="9">
        <f>VLOOKUP(B15,Veriler!A:B,2,0)</f>
      </c>
    </row>
    <row r="16" spans="1:5">
      <c r="B16" s="9" t="s">
        <v>198</v>
      </c>
      <c r="C16" s="9" t="str">
        <f>VLOOKUP(B16,'Soru Listesi'!A:C,3,0)</f>
      </c>
      <c r="D16" s="9">
        <f>VLOOKUP(B16,Veriler!A:B,2,0)</f>
      </c>
    </row>
    <row r="17" spans="2:4">
      <c r="B17" s="9" t="s">
        <v>200</v>
      </c>
      <c r="C17" s="9" t="str">
        <f>VLOOKUP(B17,'Soru Listesi'!A:C,3,0)</f>
      </c>
      <c r="D17" s="9">
        <f>VLOOKUP(B17,Veriler!A:B,2,0)</f>
      </c>
    </row>
    <row r="18" spans="2:4">
      <c r="B18" s="9" t="s">
        <v>203</v>
      </c>
      <c r="C18" s="9" t="str">
        <f>VLOOKUP(B18,'Soru Listesi'!A:C,3,0)</f>
      </c>
      <c r="D18" s="9">
        <f>VLOOKUP(B18,Veriler!A:B,2,0)</f>
      </c>
    </row>
    <row r="19" spans="2:4">
      <c r="B19" s="9" t="s">
        <v>554</v>
      </c>
      <c r="C19" s="9" t="str">
        <f>VLOOKUP(B19,'Soru Listesi'!A:C,3,0)</f>
      </c>
      <c r="D19" s="9">
        <f>VLOOKUP(B19,Veriler!A:B,2,0)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B2:N27"/>
  <sheetViews>
    <sheetView zoomScale="70" zoomScaleNormal="70" workbookViewId="0">
      <selection activeCell="J38" sqref="J38"/>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ayfa30">
    <pageSetUpPr fitToPage="1"/>
  </sheetPr>
  <dimension ref="A1:E21"/>
  <sheetViews>
    <sheetView zoomScale="70" zoomScaleNormal="70" workbookViewId="0">
      <selection activeCell="I6" sqref="I6"/>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204</v>
      </c>
      <c r="B3" s="7" t="str">
        <f>VLOOKUP(A3,'Soru Listesi'!A:G,3,0)</f>
      </c>
      <c r="C3" s="123" t="str">
        <f>VLOOKUP(A3,Veriler!A:D,4,0)</f>
      </c>
      <c r="D3" s="123" t="str">
        <f>VLOOKUP(A3,'Soru Listesi'!A:G,5,0)</f>
      </c>
      <c r="E3" s="90"/>
    </row>
    <row r="4" spans="1:5" ht="138" customHeight="1">
      <c r="A4" s="4" t="s">
        <v>207</v>
      </c>
      <c r="B4" s="7" t="str">
        <f>VLOOKUP(A4,'Soru Listesi'!A:G,3,0)</f>
      </c>
      <c r="C4" s="123" t="str">
        <f>VLOOKUP(A4,Veriler!A:D,4,0)</f>
      </c>
      <c r="D4" s="123" t="str">
        <f>VLOOKUP(A4,'Soru Listesi'!A:G,5,0)</f>
      </c>
      <c r="E4" s="90"/>
    </row>
    <row r="5" spans="1:5" ht="138" customHeight="1">
      <c r="A5" s="4" t="s">
        <v>209</v>
      </c>
      <c r="B5" s="7" t="str">
        <f>VLOOKUP(A5,'Soru Listesi'!A:G,3,0)</f>
      </c>
      <c r="C5" s="123" t="str">
        <f>VLOOKUP(A5,Veriler!A:D,4,0)</f>
      </c>
      <c r="D5" s="123" t="str">
        <f>VLOOKUP(A5,'Soru Listesi'!A:G,5,0)</f>
      </c>
      <c r="E5" s="90"/>
    </row>
    <row r="6" spans="1:5" ht="138" customHeight="1">
      <c r="A6" s="4" t="s">
        <v>211</v>
      </c>
      <c r="B6" s="7" t="str">
        <f>VLOOKUP(A6,'Soru Listesi'!A:G,3,0)</f>
      </c>
      <c r="C6" s="123" t="str">
        <f>VLOOKUP(A6,Veriler!A:D,4,0)</f>
      </c>
      <c r="D6" s="123" t="str">
        <f>VLOOKUP(A6,'Soru Listesi'!A:G,5,0)</f>
      </c>
      <c r="E6" s="90"/>
    </row>
    <row r="7" spans="1:5" ht="138" customHeight="1">
      <c r="A7" s="4" t="s">
        <v>214</v>
      </c>
      <c r="B7" s="7" t="str">
        <f>VLOOKUP(A7,'Soru Listesi'!A:G,3,0)</f>
      </c>
      <c r="C7" s="123" t="str">
        <f>VLOOKUP(A7,Veriler!A:D,4,0)</f>
      </c>
      <c r="D7" s="123" t="str">
        <f>VLOOKUP(A7,'Soru Listesi'!A:G,5,0)</f>
      </c>
      <c r="E7" s="90"/>
    </row>
    <row r="9" spans="1:5">
      <c r="C9" s="5"/>
    </row>
    <row r="10" spans="1:5">
      <c r="B10" s="10" t="s">
        <v>299</v>
      </c>
      <c r="C10" s="10" t="s">
        <v>9</v>
      </c>
      <c r="D10" s="10" t="s">
        <v>1</v>
      </c>
    </row>
    <row r="11" spans="1:5">
      <c r="B11" s="9" t="s">
        <v>204</v>
      </c>
      <c r="C11" s="9" t="str">
        <f>VLOOKUP(B11,'Soru Listesi'!A:C,3,0)</f>
      </c>
      <c r="D11" s="9">
        <f>VLOOKUP(B11,Veriler!A:B,2,0)</f>
      </c>
    </row>
    <row r="12" spans="1:5">
      <c r="B12" s="9" t="s">
        <v>207</v>
      </c>
      <c r="C12" s="9" t="str">
        <f>VLOOKUP(B12,'Soru Listesi'!A:C,3,0)</f>
      </c>
      <c r="D12" s="9">
        <f>VLOOKUP(B12,Veriler!A:B,2,0)</f>
      </c>
    </row>
    <row r="13" spans="1:5">
      <c r="B13" s="9" t="s">
        <v>209</v>
      </c>
      <c r="C13" s="9" t="str">
        <f>VLOOKUP(B13,'Soru Listesi'!A:C,3,0)</f>
      </c>
      <c r="D13" s="9">
        <f>VLOOKUP(B13,Veriler!A:B,2,0)</f>
      </c>
    </row>
    <row r="14" spans="1:5">
      <c r="B14" s="9" t="s">
        <v>211</v>
      </c>
      <c r="C14" s="9" t="str">
        <f>VLOOKUP(B14,'Soru Listesi'!A:C,3,0)</f>
      </c>
      <c r="D14" s="9">
        <f>VLOOKUP(B14,Veriler!A:B,2,0)</f>
      </c>
    </row>
    <row r="15" spans="1:5">
      <c r="B15" s="9" t="s">
        <v>214</v>
      </c>
      <c r="C15" s="9" t="str">
        <f>VLOOKUP(B15,'Soru Listesi'!A:C,3,0)</f>
      </c>
      <c r="D15" s="9">
        <f>VLOOKUP(B15,Veriler!A:B,2,0)</f>
      </c>
    </row>
    <row r="16" spans="1:5">
      <c r="B16" s="9" t="s">
        <v>216</v>
      </c>
      <c r="C16" s="9" t="str">
        <f>VLOOKUP(B16,'Soru Listesi'!A:C,3,0)</f>
      </c>
      <c r="D16" s="9">
        <f>VLOOKUP(B16,Veriler!A:B,2,0)</f>
      </c>
    </row>
    <row r="17" spans="2:4">
      <c r="B17" s="9" t="s">
        <v>555</v>
      </c>
      <c r="C17" s="9" t="str">
        <f>VLOOKUP(B17,'Soru Listesi'!A:C,3,0)</f>
      </c>
      <c r="D17" s="9">
        <f>VLOOKUP(B17,Veriler!A:B,2,0)</f>
      </c>
    </row>
    <row r="18" spans="2:4">
      <c r="B18" s="9" t="s">
        <v>556</v>
      </c>
      <c r="C18" s="9" t="str">
        <f>VLOOKUP(B18,'Soru Listesi'!A:C,3,0)</f>
      </c>
      <c r="D18" s="9">
        <f>VLOOKUP(B18,Veriler!A:B,2,0)</f>
      </c>
    </row>
    <row r="19" spans="2:4">
      <c r="B19" s="9" t="s">
        <v>557</v>
      </c>
      <c r="C19" s="9" t="str">
        <f>VLOOKUP(B19,'Soru Listesi'!A:C,3,0)</f>
      </c>
      <c r="D19" s="9">
        <f>VLOOKUP(B19,Veriler!A:B,2,0)</f>
      </c>
    </row>
    <row r="20" spans="2:4">
      <c r="B20" s="9" t="s">
        <v>558</v>
      </c>
      <c r="C20" s="9" t="str">
        <f>VLOOKUP(B20,'Soru Listesi'!A:C,3,0)</f>
      </c>
      <c r="D20" s="9">
        <f>VLOOKUP(B20,Veriler!A:B,2,0)</f>
      </c>
    </row>
    <row r="21" spans="2:4">
      <c r="B21" s="9" t="s">
        <v>559</v>
      </c>
      <c r="C21" s="9" t="str">
        <f>VLOOKUP(B21,'Soru Listesi'!A:C,3,0)</f>
      </c>
      <c r="D21" s="9">
        <f>VLOOKUP(B21,Veriler!A:B,2,0)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ayfa31">
    <pageSetUpPr fitToPage="1"/>
  </sheetPr>
  <dimension ref="A1:E21"/>
  <sheetViews>
    <sheetView zoomScale="70" zoomScaleNormal="70" workbookViewId="0">
      <selection activeCell="M6" sqref="M6"/>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216</v>
      </c>
      <c r="B3" s="7" t="str">
        <f>VLOOKUP(A3,'Soru Listesi'!A:G,3,0)</f>
      </c>
      <c r="C3" s="124" t="str">
        <f>VLOOKUP(A3,Veriler!A:D,4,0)</f>
      </c>
      <c r="D3" s="124" t="str">
        <f>VLOOKUP(A3,'Soru Listesi'!A:G,5,0)</f>
      </c>
      <c r="E3" s="90"/>
    </row>
    <row r="4" spans="1:5" ht="138" customHeight="1">
      <c r="A4" s="4" t="s">
        <v>555</v>
      </c>
      <c r="B4" s="7" t="str">
        <f>VLOOKUP(A4,'Soru Listesi'!A:G,3,0)</f>
      </c>
      <c r="C4" s="124" t="str">
        <f>VLOOKUP(A4,Veriler!A:D,4,0)</f>
      </c>
      <c r="D4" s="124" t="str">
        <f>VLOOKUP(A4,'Soru Listesi'!A:G,5,0)</f>
      </c>
      <c r="E4" s="90"/>
    </row>
    <row r="5" spans="1:5" ht="138" customHeight="1">
      <c r="A5" s="4" t="s">
        <v>556</v>
      </c>
      <c r="B5" s="7" t="str">
        <f>VLOOKUP(A5,'Soru Listesi'!A:G,3,0)</f>
      </c>
      <c r="C5" s="124" t="str">
        <f>VLOOKUP(A5,Veriler!A:D,4,0)</f>
      </c>
      <c r="D5" s="124" t="str">
        <f>VLOOKUP(A5,'Soru Listesi'!A:G,5,0)</f>
      </c>
      <c r="E5" s="90"/>
    </row>
    <row r="6" spans="1:5" ht="138" customHeight="1">
      <c r="A6" s="4" t="s">
        <v>557</v>
      </c>
      <c r="B6" s="7" t="str">
        <f>VLOOKUP(A6,'Soru Listesi'!A:G,3,0)</f>
      </c>
      <c r="C6" s="124" t="str">
        <f>VLOOKUP(A6,Veriler!A:D,4,0)</f>
      </c>
      <c r="D6" s="124" t="str">
        <f>VLOOKUP(A6,'Soru Listesi'!A:G,5,0)</f>
      </c>
      <c r="E6" s="90"/>
    </row>
    <row r="7" spans="1:5" ht="138" customHeight="1">
      <c r="A7" s="4" t="s">
        <v>558</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204</v>
      </c>
      <c r="C11" s="9" t="str">
        <f>VLOOKUP(B11,'Soru Listesi'!A:C,3,0)</f>
      </c>
      <c r="D11" s="9">
        <f>VLOOKUP(B11,Veriler!A:B,2,0)</f>
      </c>
    </row>
    <row r="12" spans="1:5">
      <c r="B12" s="9" t="s">
        <v>207</v>
      </c>
      <c r="C12" s="9" t="str">
        <f>VLOOKUP(B12,'Soru Listesi'!A:C,3,0)</f>
      </c>
      <c r="D12" s="9">
        <f>VLOOKUP(B12,Veriler!A:B,2,0)</f>
      </c>
    </row>
    <row r="13" spans="1:5">
      <c r="B13" s="9" t="s">
        <v>209</v>
      </c>
      <c r="C13" s="9" t="str">
        <f>VLOOKUP(B13,'Soru Listesi'!A:C,3,0)</f>
      </c>
      <c r="D13" s="9">
        <f>VLOOKUP(B13,Veriler!A:B,2,0)</f>
      </c>
    </row>
    <row r="14" spans="1:5">
      <c r="B14" s="9" t="s">
        <v>211</v>
      </c>
      <c r="C14" s="9" t="str">
        <f>VLOOKUP(B14,'Soru Listesi'!A:C,3,0)</f>
      </c>
      <c r="D14" s="9">
        <f>VLOOKUP(B14,Veriler!A:B,2,0)</f>
      </c>
    </row>
    <row r="15" spans="1:5">
      <c r="B15" s="9" t="s">
        <v>214</v>
      </c>
      <c r="C15" s="9" t="str">
        <f>VLOOKUP(B15,'Soru Listesi'!A:C,3,0)</f>
      </c>
      <c r="D15" s="9">
        <f>VLOOKUP(B15,Veriler!A:B,2,0)</f>
      </c>
    </row>
    <row r="16" spans="1:5">
      <c r="B16" s="9" t="s">
        <v>216</v>
      </c>
      <c r="C16" s="9" t="str">
        <f>VLOOKUP(B16,'Soru Listesi'!A:C,3,0)</f>
      </c>
      <c r="D16" s="9">
        <f>VLOOKUP(B16,Veriler!A:B,2,0)</f>
      </c>
    </row>
    <row r="17" spans="2:4">
      <c r="B17" s="9" t="s">
        <v>555</v>
      </c>
      <c r="C17" s="9" t="str">
        <f>VLOOKUP(B17,'Soru Listesi'!A:C,3,0)</f>
      </c>
      <c r="D17" s="9">
        <f>VLOOKUP(B17,Veriler!A:B,2,0)</f>
      </c>
    </row>
    <row r="18" spans="2:4">
      <c r="B18" s="9" t="s">
        <v>556</v>
      </c>
      <c r="C18" s="9" t="str">
        <f>VLOOKUP(B18,'Soru Listesi'!A:C,3,0)</f>
      </c>
      <c r="D18" s="9">
        <f>VLOOKUP(B18,Veriler!A:B,2,0)</f>
      </c>
    </row>
    <row r="19" spans="2:4">
      <c r="B19" s="9" t="s">
        <v>557</v>
      </c>
      <c r="C19" s="9" t="str">
        <f>VLOOKUP(B19,'Soru Listesi'!A:C,3,0)</f>
      </c>
      <c r="D19" s="9">
        <f>VLOOKUP(B19,Veriler!A:B,2,0)</f>
      </c>
    </row>
    <row r="20" spans="2:4">
      <c r="B20" s="9" t="s">
        <v>558</v>
      </c>
      <c r="C20" s="9" t="str">
        <f>VLOOKUP(B20,'Soru Listesi'!A:C,3,0)</f>
      </c>
      <c r="D20" s="9">
        <f>VLOOKUP(B20,Veriler!A:B,2,0)</f>
      </c>
    </row>
    <row r="21" spans="2:4">
      <c r="B21" s="9" t="s">
        <v>559</v>
      </c>
      <c r="C21" s="9" t="str">
        <f>VLOOKUP(B21,'Soru Listesi'!A:C,3,0)</f>
      </c>
      <c r="D21" s="9">
        <f>VLOOKUP(B21,Veriler!A:B,2,0)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ayfa32">
    <pageSetUpPr fitToPage="1"/>
  </sheetPr>
  <dimension ref="A1:E21"/>
  <sheetViews>
    <sheetView zoomScale="70" zoomScaleNormal="70" workbookViewId="0">
      <selection activeCell="I5" sqref="I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559</v>
      </c>
      <c r="B3" s="12" t="str">
        <f>VLOOKUP(A3,'Soru Listesi'!A:G,3,0)</f>
      </c>
      <c r="C3" s="11" t="str">
        <f>VLOOKUP(A3,Veriler!A:D,4,0)</f>
      </c>
      <c r="D3" s="11" t="str">
        <f>VLOOKUP(A3,'Soru Listesi'!A:G,5,0)</f>
      </c>
      <c r="E3" s="90"/>
    </row>
    <row r="4" spans="1:5" ht="138" customHeight="1">
      <c r="A4" s="4"/>
      <c r="B4" s="12"/>
      <c r="C4" s="6"/>
      <c r="D4" s="6"/>
      <c r="E4" s="92"/>
    </row>
    <row r="5" spans="1:5" ht="138" customHeight="1">
      <c r="A5" s="4"/>
      <c r="B5" s="16"/>
      <c r="C5" s="6"/>
      <c r="D5" s="6"/>
      <c r="E5" s="92"/>
    </row>
    <row r="6" spans="1:5" ht="138" customHeight="1">
      <c r="A6" s="4"/>
      <c r="B6" s="16"/>
      <c r="C6" s="6"/>
      <c r="D6" s="6"/>
      <c r="E6" s="92"/>
    </row>
    <row r="7" spans="1:5" ht="138" customHeight="1">
      <c r="A7" s="4"/>
      <c r="B7" s="14"/>
      <c r="C7" s="6"/>
      <c r="D7" s="6"/>
      <c r="E7" s="92"/>
    </row>
    <row r="9" spans="1:5">
      <c r="C9" s="5"/>
    </row>
    <row r="10" spans="1:5">
      <c r="B10" s="10" t="s">
        <v>299</v>
      </c>
      <c r="C10" s="10" t="s">
        <v>9</v>
      </c>
      <c r="D10" s="10" t="s">
        <v>1</v>
      </c>
    </row>
    <row r="11" spans="1:5">
      <c r="B11" s="9" t="s">
        <v>204</v>
      </c>
      <c r="C11" s="9" t="str">
        <f>VLOOKUP(B11,'Soru Listesi'!A:C,3,0)</f>
      </c>
      <c r="D11" s="9">
        <f>VLOOKUP(B11,Veriler!A:B,2,0)</f>
      </c>
    </row>
    <row r="12" spans="1:5">
      <c r="B12" s="9" t="s">
        <v>207</v>
      </c>
      <c r="C12" s="9" t="str">
        <f>VLOOKUP(B12,'Soru Listesi'!A:C,3,0)</f>
      </c>
      <c r="D12" s="9">
        <f>VLOOKUP(B12,Veriler!A:B,2,0)</f>
      </c>
    </row>
    <row r="13" spans="1:5">
      <c r="B13" s="9" t="s">
        <v>209</v>
      </c>
      <c r="C13" s="9" t="str">
        <f>VLOOKUP(B13,'Soru Listesi'!A:C,3,0)</f>
      </c>
      <c r="D13" s="9">
        <f>VLOOKUP(B13,Veriler!A:B,2,0)</f>
      </c>
    </row>
    <row r="14" spans="1:5">
      <c r="B14" s="9" t="s">
        <v>211</v>
      </c>
      <c r="C14" s="9" t="str">
        <f>VLOOKUP(B14,'Soru Listesi'!A:C,3,0)</f>
      </c>
      <c r="D14" s="9">
        <f>VLOOKUP(B14,Veriler!A:B,2,0)</f>
      </c>
    </row>
    <row r="15" spans="1:5">
      <c r="B15" s="9" t="s">
        <v>214</v>
      </c>
      <c r="C15" s="9" t="str">
        <f>VLOOKUP(B15,'Soru Listesi'!A:C,3,0)</f>
      </c>
      <c r="D15" s="9">
        <f>VLOOKUP(B15,Veriler!A:B,2,0)</f>
      </c>
    </row>
    <row r="16" spans="1:5">
      <c r="B16" s="9" t="s">
        <v>216</v>
      </c>
      <c r="C16" s="9" t="str">
        <f>VLOOKUP(B16,'Soru Listesi'!A:C,3,0)</f>
      </c>
      <c r="D16" s="9">
        <f>VLOOKUP(B16,Veriler!A:B,2,0)</f>
      </c>
    </row>
    <row r="17" spans="2:4">
      <c r="B17" s="9" t="s">
        <v>555</v>
      </c>
      <c r="C17" s="9" t="str">
        <f>VLOOKUP(B17,'Soru Listesi'!A:C,3,0)</f>
      </c>
      <c r="D17" s="9">
        <f>VLOOKUP(B17,Veriler!A:B,2,0)</f>
      </c>
    </row>
    <row r="18" spans="2:4">
      <c r="B18" s="9" t="s">
        <v>556</v>
      </c>
      <c r="C18" s="9" t="str">
        <f>VLOOKUP(B18,'Soru Listesi'!A:C,3,0)</f>
      </c>
      <c r="D18" s="9">
        <f>VLOOKUP(B18,Veriler!A:B,2,0)</f>
      </c>
    </row>
    <row r="19" spans="2:4">
      <c r="B19" s="9" t="s">
        <v>557</v>
      </c>
      <c r="C19" s="9" t="str">
        <f>VLOOKUP(B19,'Soru Listesi'!A:C,3,0)</f>
      </c>
      <c r="D19" s="9">
        <f>VLOOKUP(B19,Veriler!A:B,2,0)</f>
      </c>
    </row>
    <row r="20" spans="2:4">
      <c r="B20" s="9" t="s">
        <v>558</v>
      </c>
      <c r="C20" s="9" t="str">
        <f>VLOOKUP(B20,'Soru Listesi'!A:C,3,0)</f>
      </c>
      <c r="D20" s="9">
        <f>VLOOKUP(B20,Veriler!A:B,2,0)</f>
      </c>
    </row>
    <row r="21" spans="2:4">
      <c r="B21" s="9" t="s">
        <v>559</v>
      </c>
      <c r="C21" s="9" t="str">
        <f>VLOOKUP(B21,'Soru Listesi'!A:C,3,0)</f>
      </c>
      <c r="D21" s="9">
        <f>VLOOKUP(B21,Veriler!A:B,2,0)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B2:N27"/>
  <sheetViews>
    <sheetView zoomScale="70" zoomScaleNormal="70" workbookViewId="0">
      <selection activeCell="C24" sqref="C24:N27"/>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ayfa33">
    <pageSetUpPr fitToPage="1"/>
  </sheetPr>
  <dimension ref="A1:E19"/>
  <sheetViews>
    <sheetView zoomScale="70" zoomScaleNormal="70" workbookViewId="0">
      <selection activeCell="C3" sqref="C3"/>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218</v>
      </c>
      <c r="B3" s="7" t="str">
        <f>VLOOKUP(A3,'Soru Listesi'!A:G,3,0)</f>
      </c>
      <c r="C3" s="124" t="str">
        <f>VLOOKUP(A3,Veriler!A:D,4,0)</f>
      </c>
      <c r="D3" s="124" t="str">
        <f>VLOOKUP(A3,'Soru Listesi'!A:G,5,0)</f>
      </c>
      <c r="E3" s="90"/>
    </row>
    <row r="4" spans="1:5" ht="138" customHeight="1">
      <c r="A4" s="4" t="s">
        <v>222</v>
      </c>
      <c r="B4" s="7" t="str">
        <f>VLOOKUP(A4,'Soru Listesi'!A:G,3,0)</f>
      </c>
      <c r="C4" s="124" t="str">
        <f>VLOOKUP(A4,Veriler!A:D,4,0)</f>
      </c>
      <c r="D4" s="124" t="str">
        <f>VLOOKUP(A4,'Soru Listesi'!A:G,5,0)</f>
      </c>
      <c r="E4" s="90"/>
    </row>
    <row r="5" spans="1:5" ht="138" customHeight="1">
      <c r="A5" s="4" t="s">
        <v>224</v>
      </c>
      <c r="B5" s="7" t="str">
        <f>VLOOKUP(A5,'Soru Listesi'!A:G,3,0)</f>
      </c>
      <c r="C5" s="124" t="str">
        <f>VLOOKUP(A5,Veriler!A:D,4,0)</f>
      </c>
      <c r="D5" s="124" t="str">
        <f>VLOOKUP(A5,'Soru Listesi'!A:G,5,0)</f>
      </c>
      <c r="E5" s="90"/>
    </row>
    <row r="6" spans="1:5" ht="138" customHeight="1">
      <c r="A6" s="4" t="s">
        <v>226</v>
      </c>
      <c r="B6" s="7" t="str">
        <f>VLOOKUP(A6,'Soru Listesi'!A:G,3,0)</f>
      </c>
      <c r="C6" s="124" t="str">
        <f>VLOOKUP(A6,Veriler!A:D,4,0)</f>
      </c>
      <c r="D6" s="124" t="str">
        <f>VLOOKUP(A6,'Soru Listesi'!A:G,5,0)</f>
      </c>
      <c r="E6" s="90"/>
    </row>
    <row r="7" spans="1:5" ht="138" customHeight="1">
      <c r="A7" s="4" t="s">
        <v>229</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218</v>
      </c>
      <c r="C11" s="9" t="str">
        <f>VLOOKUP(B11,'Soru Listesi'!A:C,3,0)</f>
      </c>
      <c r="D11" s="9">
        <f>VLOOKUP(B11,Veriler!A:B,2,0)</f>
      </c>
    </row>
    <row r="12" spans="1:5">
      <c r="B12" s="9" t="s">
        <v>222</v>
      </c>
      <c r="C12" s="9" t="str">
        <f>VLOOKUP(B12,'Soru Listesi'!A:C,3,0)</f>
      </c>
      <c r="D12" s="9">
        <f>VLOOKUP(B12,Veriler!A:B,2,0)</f>
      </c>
    </row>
    <row r="13" spans="1:5">
      <c r="B13" s="9" t="s">
        <v>224</v>
      </c>
      <c r="C13" s="9" t="str">
        <f>VLOOKUP(B13,'Soru Listesi'!A:C,3,0)</f>
      </c>
      <c r="D13" s="9">
        <f>VLOOKUP(B13,Veriler!A:B,2,0)</f>
      </c>
    </row>
    <row r="14" spans="1:5">
      <c r="B14" s="9" t="s">
        <v>226</v>
      </c>
      <c r="C14" s="9" t="str">
        <f>VLOOKUP(B14,'Soru Listesi'!A:C,3,0)</f>
      </c>
      <c r="D14" s="9">
        <f>VLOOKUP(B14,Veriler!A:B,2,0)</f>
      </c>
    </row>
    <row r="15" spans="1:5">
      <c r="B15" s="9" t="s">
        <v>229</v>
      </c>
      <c r="C15" s="9" t="str">
        <f>VLOOKUP(B15,'Soru Listesi'!A:C,3,0)</f>
      </c>
      <c r="D15" s="9">
        <f>VLOOKUP(B15,Veriler!A:B,2,0)</f>
      </c>
    </row>
    <row r="16" spans="1:5">
      <c r="B16" s="9" t="s">
        <v>231</v>
      </c>
      <c r="C16" s="9" t="str">
        <f>VLOOKUP(B16,'Soru Listesi'!A:C,3,0)</f>
      </c>
      <c r="D16" s="9">
        <f>VLOOKUP(B16,Veriler!A:B,2,0)</f>
      </c>
    </row>
    <row r="17" spans="2:4">
      <c r="B17" s="9" t="s">
        <v>560</v>
      </c>
      <c r="C17" s="9" t="str">
        <f>VLOOKUP(B17,'Soru Listesi'!A:C,3,0)</f>
      </c>
      <c r="D17" s="9">
        <f>VLOOKUP(B17,Veriler!A:B,2,0)</f>
      </c>
    </row>
    <row r="18" spans="2:4">
      <c r="B18" s="9" t="s">
        <v>561</v>
      </c>
      <c r="C18" s="9" t="str">
        <f>VLOOKUP(B18,'Soru Listesi'!A:C,3,0)</f>
      </c>
      <c r="D18" s="9">
        <f>VLOOKUP(B18,Veriler!A:B,2,0)</f>
      </c>
    </row>
    <row r="19" spans="2:4">
      <c r="B19" s="9" t="s">
        <v>562</v>
      </c>
      <c r="C19" s="9" t="str">
        <f>VLOOKUP(B19,'Soru Listesi'!A:C,3,0)</f>
      </c>
      <c r="D19" s="9">
        <f>VLOOKUP(B19,Veriler!A:B,2,0)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ayfa34">
    <pageSetUpPr fitToPage="1"/>
  </sheetPr>
  <dimension ref="A1:E19"/>
  <sheetViews>
    <sheetView zoomScale="70" zoomScaleNormal="70" workbookViewId="0">
      <selection activeCell="L6" sqref="L6"/>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231</v>
      </c>
      <c r="B3" s="7" t="str">
        <f>VLOOKUP(A3,'Soru Listesi'!A:G,3,0)</f>
      </c>
      <c r="C3" s="123" t="str">
        <f>VLOOKUP(A3,Veriler!A:D,4,0)</f>
      </c>
      <c r="D3" s="123" t="str">
        <f>VLOOKUP(A3,'Soru Listesi'!A:G,5,0)</f>
      </c>
      <c r="E3" s="90"/>
    </row>
    <row r="4" spans="1:5" ht="138" customHeight="1">
      <c r="A4" s="4" t="s">
        <v>560</v>
      </c>
      <c r="B4" s="7" t="str">
        <f>VLOOKUP(A4,'Soru Listesi'!A:G,3,0)</f>
      </c>
      <c r="C4" s="123" t="str">
        <f>VLOOKUP(A4,Veriler!A:D,4,0)</f>
      </c>
      <c r="D4" s="123" t="str">
        <f>VLOOKUP(A4,'Soru Listesi'!A:G,5,0)</f>
      </c>
      <c r="E4" s="90"/>
    </row>
    <row r="5" spans="1:5" ht="138" customHeight="1">
      <c r="A5" s="4" t="s">
        <v>561</v>
      </c>
      <c r="B5" s="7" t="str">
        <f>VLOOKUP(A5,'Soru Listesi'!A:G,3,0)</f>
      </c>
      <c r="C5" s="123" t="str">
        <f>VLOOKUP(A5,Veriler!A:D,4,0)</f>
      </c>
      <c r="D5" s="123" t="str">
        <f>VLOOKUP(A5,'Soru Listesi'!A:G,5,0)</f>
      </c>
      <c r="E5" s="90"/>
    </row>
    <row r="6" spans="1:5" ht="138" customHeight="1">
      <c r="A6" s="4" t="s">
        <v>562</v>
      </c>
      <c r="B6" s="12" t="str">
        <f>VLOOKUP(A6,'Soru Listesi'!A:G,3,0)</f>
      </c>
      <c r="C6" s="123" t="str">
        <f>VLOOKUP(A6,Veriler!A:D,4,0)</f>
      </c>
      <c r="D6" s="123" t="str">
        <f>VLOOKUP(A6,'Soru Listesi'!A:G,5,0)</f>
      </c>
      <c r="E6" s="90"/>
    </row>
    <row r="7" spans="1:5" ht="138" customHeight="1">
      <c r="A7" s="4"/>
      <c r="B7" s="7"/>
      <c r="C7" s="123"/>
      <c r="D7" s="123"/>
      <c r="E7" s="92"/>
    </row>
    <row r="9" spans="1:5">
      <c r="C9" s="5"/>
    </row>
    <row r="10" spans="1:5">
      <c r="B10" s="10" t="s">
        <v>299</v>
      </c>
      <c r="C10" s="10" t="s">
        <v>9</v>
      </c>
      <c r="D10" s="10" t="s">
        <v>1</v>
      </c>
    </row>
    <row r="11" spans="1:5">
      <c r="B11" s="9" t="s">
        <v>218</v>
      </c>
      <c r="C11" s="9" t="str">
        <f>VLOOKUP(B11,'Soru Listesi'!A:C,3,0)</f>
      </c>
      <c r="D11" s="9">
        <f>VLOOKUP(B11,Veriler!A:B,2,0)</f>
      </c>
    </row>
    <row r="12" spans="1:5">
      <c r="B12" s="9" t="s">
        <v>222</v>
      </c>
      <c r="C12" s="9" t="str">
        <f>VLOOKUP(B12,'Soru Listesi'!A:C,3,0)</f>
      </c>
      <c r="D12" s="9">
        <f>VLOOKUP(B12,Veriler!A:B,2,0)</f>
      </c>
    </row>
    <row r="13" spans="1:5">
      <c r="B13" s="9" t="s">
        <v>224</v>
      </c>
      <c r="C13" s="9" t="str">
        <f>VLOOKUP(B13,'Soru Listesi'!A:C,3,0)</f>
      </c>
      <c r="D13" s="9">
        <f>VLOOKUP(B13,Veriler!A:B,2,0)</f>
      </c>
    </row>
    <row r="14" spans="1:5">
      <c r="B14" s="9" t="s">
        <v>226</v>
      </c>
      <c r="C14" s="9" t="str">
        <f>VLOOKUP(B14,'Soru Listesi'!A:C,3,0)</f>
      </c>
      <c r="D14" s="9">
        <f>VLOOKUP(B14,Veriler!A:B,2,0)</f>
      </c>
    </row>
    <row r="15" spans="1:5">
      <c r="B15" s="9" t="s">
        <v>229</v>
      </c>
      <c r="C15" s="9" t="str">
        <f>VLOOKUP(B15,'Soru Listesi'!A:C,3,0)</f>
      </c>
      <c r="D15" s="9">
        <f>VLOOKUP(B15,Veriler!A:B,2,0)</f>
      </c>
    </row>
    <row r="16" spans="1:5">
      <c r="B16" s="9" t="s">
        <v>231</v>
      </c>
      <c r="C16" s="9" t="str">
        <f>VLOOKUP(B16,'Soru Listesi'!A:C,3,0)</f>
      </c>
      <c r="D16" s="9">
        <f>VLOOKUP(B16,Veriler!A:B,2,0)</f>
      </c>
    </row>
    <row r="17" spans="2:4">
      <c r="B17" s="9" t="s">
        <v>560</v>
      </c>
      <c r="C17" s="9" t="str">
        <f>VLOOKUP(B17,'Soru Listesi'!A:C,3,0)</f>
      </c>
      <c r="D17" s="9">
        <f>VLOOKUP(B17,Veriler!A:B,2,0)</f>
      </c>
    </row>
    <row r="18" spans="2:4">
      <c r="B18" s="9" t="s">
        <v>561</v>
      </c>
      <c r="C18" s="9" t="str">
        <f>VLOOKUP(B18,'Soru Listesi'!A:C,3,0)</f>
      </c>
      <c r="D18" s="9">
        <f>VLOOKUP(B18,Veriler!A:B,2,0)</f>
      </c>
    </row>
    <row r="19" spans="2:4">
      <c r="B19" s="9" t="s">
        <v>562</v>
      </c>
      <c r="C19" s="9" t="str">
        <f>VLOOKUP(B19,'Soru Listesi'!A:C,3,0)</f>
      </c>
      <c r="D19" s="9">
        <f>VLOOKUP(B19,Veriler!A:B,2,0)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B2:N27"/>
  <sheetViews>
    <sheetView zoomScale="70" zoomScaleNormal="70" workbookViewId="0">
      <selection activeCell="C24" sqref="C24:N27"/>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ayfa35">
    <pageSetUpPr fitToPage="1"/>
  </sheetPr>
  <dimension ref="A1:E18"/>
  <sheetViews>
    <sheetView zoomScale="70" zoomScaleNormal="70" workbookViewId="0">
      <selection activeCell="C4" sqref="C4"/>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234</v>
      </c>
      <c r="B3" s="7" t="str">
        <f>VLOOKUP(A3,'Soru Listesi'!A:G,3,0)</f>
      </c>
      <c r="C3" s="124" t="str">
        <f>VLOOKUP(A3,Veriler!A:D,4,0)</f>
      </c>
      <c r="D3" s="124" t="str">
        <f>VLOOKUP(A3,'Soru Listesi'!A:G,5,0)</f>
      </c>
      <c r="E3" s="90"/>
    </row>
    <row r="4" spans="1:5" ht="138" customHeight="1">
      <c r="A4" s="4" t="s">
        <v>237</v>
      </c>
      <c r="B4" s="7" t="str">
        <f>VLOOKUP(A4,'Soru Listesi'!A:G,3,0)</f>
      </c>
      <c r="C4" s="124" t="str">
        <f>VLOOKUP(A4,Veriler!A:D,4,0)</f>
      </c>
      <c r="D4" s="124" t="str">
        <f>VLOOKUP(A4,'Soru Listesi'!A:G,5,0)</f>
      </c>
      <c r="E4" s="90"/>
    </row>
    <row r="5" spans="1:5" ht="138" customHeight="1">
      <c r="A5" s="4" t="s">
        <v>239</v>
      </c>
      <c r="B5" s="7" t="str">
        <f>VLOOKUP(A5,'Soru Listesi'!A:G,3,0)</f>
      </c>
      <c r="C5" s="124" t="str">
        <f>VLOOKUP(A5,Veriler!A:D,4,0)</f>
      </c>
      <c r="D5" s="124" t="str">
        <f>VLOOKUP(A5,'Soru Listesi'!A:G,5,0)</f>
      </c>
      <c r="E5" s="90"/>
    </row>
    <row r="6" spans="1:5" ht="138" customHeight="1">
      <c r="A6" s="4" t="s">
        <v>241</v>
      </c>
      <c r="B6" s="7" t="str">
        <f>VLOOKUP(A6,'Soru Listesi'!A:G,3,0)</f>
      </c>
      <c r="C6" s="124" t="str">
        <f>VLOOKUP(A6,Veriler!A:D,4,0)</f>
      </c>
      <c r="D6" s="124" t="str">
        <f>VLOOKUP(A6,'Soru Listesi'!A:G,5,0)</f>
      </c>
      <c r="E6" s="90"/>
    </row>
    <row r="7" spans="1:5" ht="138" customHeight="1">
      <c r="A7" s="4" t="s">
        <v>243</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234</v>
      </c>
      <c r="C11" s="9" t="str">
        <f>VLOOKUP(B11,'Soru Listesi'!A:C,3,0)</f>
      </c>
      <c r="D11" s="9">
        <f>VLOOKUP(B11,Veriler!A:B,2,0)</f>
      </c>
    </row>
    <row r="12" spans="1:5">
      <c r="B12" s="9" t="s">
        <v>237</v>
      </c>
      <c r="C12" s="9" t="str">
        <f>VLOOKUP(B12,'Soru Listesi'!A:C,3,0)</f>
      </c>
      <c r="D12" s="9">
        <f>VLOOKUP(B12,Veriler!A:B,2,0)</f>
      </c>
    </row>
    <row r="13" spans="1:5">
      <c r="B13" s="9" t="s">
        <v>239</v>
      </c>
      <c r="C13" s="9" t="str">
        <f>VLOOKUP(B13,'Soru Listesi'!A:C,3,0)</f>
      </c>
      <c r="D13" s="9">
        <f>VLOOKUP(B13,Veriler!A:B,2,0)</f>
      </c>
    </row>
    <row r="14" spans="1:5">
      <c r="B14" s="9" t="s">
        <v>241</v>
      </c>
      <c r="C14" s="9" t="str">
        <f>VLOOKUP(B14,'Soru Listesi'!A:C,3,0)</f>
      </c>
      <c r="D14" s="9">
        <f>VLOOKUP(B14,Veriler!A:B,2,0)</f>
      </c>
    </row>
    <row r="15" spans="1:5">
      <c r="B15" s="9" t="s">
        <v>243</v>
      </c>
      <c r="C15" s="9" t="str">
        <f>VLOOKUP(B15,'Soru Listesi'!A:C,3,0)</f>
      </c>
      <c r="D15" s="9">
        <f>VLOOKUP(B15,Veriler!A:B,2,0)</f>
      </c>
    </row>
    <row r="16" spans="1:5">
      <c r="B16" s="9" t="s">
        <v>563</v>
      </c>
      <c r="C16" s="9" t="str">
        <f>VLOOKUP(B16,'Soru Listesi'!A:C,3,0)</f>
      </c>
      <c r="D16" s="9">
        <f>VLOOKUP(B16,Veriler!A:B,2,0)</f>
      </c>
    </row>
    <row r="17" spans="2:4">
      <c r="B17" s="9" t="s">
        <v>564</v>
      </c>
      <c r="C17" s="9" t="str">
        <f>VLOOKUP(B17,'Soru Listesi'!A:C,3,0)</f>
      </c>
      <c r="D17" s="9">
        <f>VLOOKUP(B17,Veriler!A:B,2,0)</f>
      </c>
    </row>
    <row r="18" spans="2:4">
      <c r="B18" s="9" t="s">
        <v>565</v>
      </c>
      <c r="C18" s="9" t="str">
        <f>VLOOKUP(B18,'Soru Listesi'!A:C,3,0)</f>
      </c>
      <c r="D18" s="9">
        <f>VLOOKUP(B18,Veriler!A:B,2,0)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ayfa36">
    <pageSetUpPr fitToPage="1"/>
  </sheetPr>
  <dimension ref="A1:E18"/>
  <sheetViews>
    <sheetView zoomScale="70" zoomScaleNormal="70" workbookViewId="0">
      <selection activeCell="C3" sqref="C3"/>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563</v>
      </c>
      <c r="B3" s="7" t="str">
        <f>VLOOKUP(A3,'Soru Listesi'!A:G,3,0)</f>
      </c>
      <c r="C3" s="124" t="str">
        <f>VLOOKUP(A3,Veriler!A:D,4,0)</f>
      </c>
      <c r="D3" s="124" t="str">
        <f>VLOOKUP(A3,'Soru Listesi'!A:G,5,0)</f>
      </c>
      <c r="E3" s="90"/>
    </row>
    <row r="4" spans="1:5" ht="138" customHeight="1">
      <c r="A4" s="4" t="s">
        <v>564</v>
      </c>
      <c r="B4" s="7" t="str">
        <f>VLOOKUP(A4,'Soru Listesi'!A:G,3,0)</f>
      </c>
      <c r="C4" s="124" t="str">
        <f>VLOOKUP(A4,Veriler!A:D,4,0)</f>
      </c>
      <c r="D4" s="124" t="str">
        <f>VLOOKUP(A4,'Soru Listesi'!A:G,5,0)</f>
      </c>
      <c r="E4" s="90"/>
    </row>
    <row r="5" spans="1:5" ht="138" customHeight="1">
      <c r="A5" s="4" t="s">
        <v>565</v>
      </c>
      <c r="B5" s="12" t="str">
        <f>VLOOKUP(A5,'Soru Listesi'!A:G,3,0)</f>
      </c>
      <c r="C5" s="124" t="str">
        <f>VLOOKUP(A5,Veriler!A:D,4,0)</f>
      </c>
      <c r="D5" s="124" t="str">
        <f>VLOOKUP(A5,'Soru Listesi'!A:G,5,0)</f>
      </c>
      <c r="E5" s="90"/>
    </row>
    <row r="6" spans="1:5" ht="138" customHeight="1">
      <c r="A6" s="4"/>
      <c r="B6" s="12"/>
      <c r="C6" s="124"/>
      <c r="D6" s="124"/>
      <c r="E6" s="92"/>
    </row>
    <row r="7" spans="1:5" ht="138" customHeight="1">
      <c r="A7" s="4"/>
      <c r="B7" s="14"/>
      <c r="C7" s="124"/>
      <c r="D7" s="124"/>
      <c r="E7" s="92"/>
    </row>
    <row r="9" spans="1:5">
      <c r="C9" s="5"/>
    </row>
    <row r="10" spans="1:5">
      <c r="B10" s="10" t="s">
        <v>299</v>
      </c>
      <c r="C10" s="10" t="s">
        <v>9</v>
      </c>
      <c r="D10" s="10" t="s">
        <v>1</v>
      </c>
    </row>
    <row r="11" spans="1:5">
      <c r="B11" s="9" t="s">
        <v>234</v>
      </c>
      <c r="C11" s="9" t="str">
        <f>VLOOKUP(B11,'Soru Listesi'!A:C,3,0)</f>
      </c>
      <c r="D11" s="9">
        <f>VLOOKUP(B11,Veriler!A:B,2,0)</f>
      </c>
    </row>
    <row r="12" spans="1:5">
      <c r="B12" s="9" t="s">
        <v>237</v>
      </c>
      <c r="C12" s="9" t="str">
        <f>VLOOKUP(B12,'Soru Listesi'!A:C,3,0)</f>
      </c>
      <c r="D12" s="9">
        <f>VLOOKUP(B12,Veriler!A:B,2,0)</f>
      </c>
    </row>
    <row r="13" spans="1:5">
      <c r="B13" s="9" t="s">
        <v>239</v>
      </c>
      <c r="C13" s="9" t="str">
        <f>VLOOKUP(B13,'Soru Listesi'!A:C,3,0)</f>
      </c>
      <c r="D13" s="9">
        <f>VLOOKUP(B13,Veriler!A:B,2,0)</f>
      </c>
    </row>
    <row r="14" spans="1:5">
      <c r="B14" s="9" t="s">
        <v>241</v>
      </c>
      <c r="C14" s="9" t="str">
        <f>VLOOKUP(B14,'Soru Listesi'!A:C,3,0)</f>
      </c>
      <c r="D14" s="9">
        <f>VLOOKUP(B14,Veriler!A:B,2,0)</f>
      </c>
    </row>
    <row r="15" spans="1:5">
      <c r="B15" s="9" t="s">
        <v>243</v>
      </c>
      <c r="C15" s="9" t="str">
        <f>VLOOKUP(B15,'Soru Listesi'!A:C,3,0)</f>
      </c>
      <c r="D15" s="9">
        <f>VLOOKUP(B15,Veriler!A:B,2,0)</f>
      </c>
    </row>
    <row r="16" spans="1:5">
      <c r="B16" s="9" t="s">
        <v>563</v>
      </c>
      <c r="C16" s="9" t="str">
        <f>VLOOKUP(B16,'Soru Listesi'!A:C,3,0)</f>
      </c>
      <c r="D16" s="9">
        <f>VLOOKUP(B16,Veriler!A:B,2,0)</f>
      </c>
    </row>
    <row r="17" spans="2:4">
      <c r="B17" s="9" t="s">
        <v>564</v>
      </c>
      <c r="C17" s="9" t="str">
        <f>VLOOKUP(B17,'Soru Listesi'!A:C,3,0)</f>
      </c>
      <c r="D17" s="9">
        <f>VLOOKUP(B17,Veriler!A:B,2,0)</f>
      </c>
    </row>
    <row r="18" spans="2:4">
      <c r="B18" s="9" t="s">
        <v>565</v>
      </c>
      <c r="C18" s="9" t="str">
        <f>VLOOKUP(B18,'Soru Listesi'!A:C,3,0)</f>
      </c>
      <c r="D18" s="9">
        <f>VLOOKUP(B18,Veriler!A:B,2,0)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B2:N27"/>
  <sheetViews>
    <sheetView zoomScale="70" zoomScaleNormal="70" workbookViewId="0">
      <selection activeCell="C24" sqref="C24:N27"/>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(CODE(UPPER(MID(CELL("dosyaadı",A1),FIND("]",CELL("dosyaadı",A1),1)+1,1)))-CODE("A")+1)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ayfa37">
    <pageSetUpPr fitToPage="1"/>
  </sheetPr>
  <dimension ref="A1:E21"/>
  <sheetViews>
    <sheetView zoomScale="70" zoomScaleNormal="70" workbookViewId="0">
      <selection activeCell="L5" sqref="L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245</v>
      </c>
      <c r="B3" s="7" t="str">
        <f>VLOOKUP(A3,'Soru Listesi'!A:G,3,0)</f>
      </c>
      <c r="C3" s="124" t="str">
        <f>VLOOKUP(A3,Veriler!A:D,4,0)</f>
      </c>
      <c r="D3" s="124" t="str">
        <f>VLOOKUP(A3,'Soru Listesi'!A:G,5,0)</f>
      </c>
      <c r="E3" s="90"/>
    </row>
    <row r="4" spans="1:5" ht="138" customHeight="1">
      <c r="A4" s="4" t="s">
        <v>248</v>
      </c>
      <c r="B4" s="7" t="str">
        <f>VLOOKUP(A4,'Soru Listesi'!A:G,3,0)</f>
      </c>
      <c r="C4" s="124" t="str">
        <f>VLOOKUP(A4,Veriler!A:D,4,0)</f>
      </c>
      <c r="D4" s="124" t="str">
        <f>VLOOKUP(A4,'Soru Listesi'!A:G,5,0)</f>
      </c>
      <c r="E4" s="90"/>
    </row>
    <row r="5" spans="1:5" ht="138" customHeight="1">
      <c r="A5" s="4" t="s">
        <v>249</v>
      </c>
      <c r="B5" s="7" t="str">
        <f>VLOOKUP(A5,'Soru Listesi'!A:G,3,0)</f>
      </c>
      <c r="C5" s="124" t="str">
        <f>VLOOKUP(A5,Veriler!A:D,4,0)</f>
      </c>
      <c r="D5" s="124" t="str">
        <f>VLOOKUP(A5,'Soru Listesi'!A:G,5,0)</f>
      </c>
      <c r="E5" s="90"/>
    </row>
    <row r="6" spans="1:5" ht="138" customHeight="1">
      <c r="A6" s="4" t="s">
        <v>251</v>
      </c>
      <c r="B6" s="7" t="str">
        <f>VLOOKUP(A6,'Soru Listesi'!A:G,3,0)</f>
      </c>
      <c r="C6" s="124" t="str">
        <f>VLOOKUP(A6,Veriler!A:D,4,0)</f>
      </c>
      <c r="D6" s="124" t="str">
        <f>VLOOKUP(A6,'Soru Listesi'!A:G,5,0)</f>
      </c>
      <c r="E6" s="90"/>
    </row>
    <row r="7" spans="1:5" ht="138" customHeight="1">
      <c r="A7" s="4" t="s">
        <v>255</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245</v>
      </c>
      <c r="C11" s="9" t="str">
        <f>VLOOKUP(B11,'Soru Listesi'!A:C,3,0)</f>
      </c>
      <c r="D11" s="9">
        <f>VLOOKUP(B11,Veriler!A:B,2,0)</f>
      </c>
    </row>
    <row r="12" spans="1:5">
      <c r="B12" s="9" t="s">
        <v>248</v>
      </c>
      <c r="C12" s="9" t="str">
        <f>VLOOKUP(B12,'Soru Listesi'!A:C,3,0)</f>
      </c>
      <c r="D12" s="9">
        <f>VLOOKUP(B12,Veriler!A:B,2,0)</f>
      </c>
    </row>
    <row r="13" spans="1:5">
      <c r="B13" s="9" t="s">
        <v>249</v>
      </c>
      <c r="C13" s="9" t="str">
        <f>VLOOKUP(B13,'Soru Listesi'!A:C,3,0)</f>
      </c>
      <c r="D13" s="9">
        <f>VLOOKUP(B13,Veriler!A:B,2,0)</f>
      </c>
    </row>
    <row r="14" spans="1:5">
      <c r="B14" s="9" t="s">
        <v>251</v>
      </c>
      <c r="C14" s="9" t="str">
        <f>VLOOKUP(B14,'Soru Listesi'!A:C,3,0)</f>
      </c>
      <c r="D14" s="9">
        <f>VLOOKUP(B14,Veriler!A:B,2,0)</f>
      </c>
    </row>
    <row r="15" spans="1:5">
      <c r="B15" s="9" t="s">
        <v>255</v>
      </c>
      <c r="C15" s="9" t="str">
        <f>VLOOKUP(B15,'Soru Listesi'!A:C,3,0)</f>
      </c>
      <c r="D15" s="9">
        <f>VLOOKUP(B15,Veriler!A:B,2,0)</f>
      </c>
    </row>
    <row r="16" spans="1:5">
      <c r="B16" s="9" t="s">
        <v>256</v>
      </c>
      <c r="C16" s="9" t="str">
        <f>VLOOKUP(B16,'Soru Listesi'!A:C,3,0)</f>
      </c>
      <c r="D16" s="9">
        <f>VLOOKUP(B16,Veriler!A:B,2,0)</f>
      </c>
    </row>
    <row r="17" spans="2:4">
      <c r="B17" s="9" t="s">
        <v>259</v>
      </c>
      <c r="C17" s="9" t="str">
        <f>VLOOKUP(B17,'Soru Listesi'!A:C,3,0)</f>
      </c>
      <c r="D17" s="9">
        <f>VLOOKUP(B17,Veriler!A:B,2,0)</f>
      </c>
    </row>
    <row r="18" spans="2:4">
      <c r="B18" s="9" t="s">
        <v>262</v>
      </c>
      <c r="C18" s="9" t="str">
        <f>VLOOKUP(B18,'Soru Listesi'!A:C,3,0)</f>
      </c>
      <c r="D18" s="9">
        <f>VLOOKUP(B18,Veriler!A:B,2,0)</f>
      </c>
    </row>
    <row r="19" spans="2:4">
      <c r="B19" s="9" t="s">
        <v>264</v>
      </c>
      <c r="C19" s="9" t="str">
        <f>VLOOKUP(B19,'Soru Listesi'!A:C,3,0)</f>
      </c>
      <c r="D19" s="9">
        <f>VLOOKUP(B19,Veriler!A:B,2,0)</f>
      </c>
    </row>
    <row r="20" spans="2:4">
      <c r="B20" s="9" t="s">
        <v>266</v>
      </c>
      <c r="C20" s="9" t="str">
        <f>VLOOKUP(B20,'Soru Listesi'!A:C,3,0)</f>
      </c>
      <c r="D20" s="9">
        <f>VLOOKUP(B20,Veriler!A:B,2,0)</f>
      </c>
    </row>
    <row r="21" spans="2:4">
      <c r="B21" s="9" t="s">
        <v>566</v>
      </c>
      <c r="C21" s="9" t="str">
        <f>VLOOKUP(B21,'Soru Listesi'!A:C,3,0)</f>
      </c>
      <c r="D21" s="9">
        <f>VLOOKUP(B21,Veriler!A:B,2,0)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ayfa38">
    <pageSetUpPr fitToPage="1"/>
  </sheetPr>
  <dimension ref="A1:E21"/>
  <sheetViews>
    <sheetView zoomScale="70" zoomScaleNormal="70" workbookViewId="0">
      <selection activeCell="J6" sqref="J6"/>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256</v>
      </c>
      <c r="B3" s="7" t="str">
        <f>VLOOKUP(A3,'Soru Listesi'!A:G,3,0)</f>
      </c>
      <c r="C3" s="124" t="str">
        <f>VLOOKUP(A3,Veriler!A:D,4,0)</f>
      </c>
      <c r="D3" s="124" t="str">
        <f>VLOOKUP(A3,'Soru Listesi'!A:G,5,0)</f>
      </c>
      <c r="E3" s="90"/>
    </row>
    <row r="4" spans="1:5" ht="138" customHeight="1">
      <c r="A4" s="4" t="s">
        <v>259</v>
      </c>
      <c r="B4" s="7" t="str">
        <f>VLOOKUP(A4,'Soru Listesi'!A:G,3,0)</f>
      </c>
      <c r="C4" s="124" t="str">
        <f>VLOOKUP(A4,Veriler!A:D,4,0)</f>
      </c>
      <c r="D4" s="124" t="str">
        <f>VLOOKUP(A4,'Soru Listesi'!A:G,5,0)</f>
      </c>
      <c r="E4" s="90"/>
    </row>
    <row r="5" spans="1:5" ht="138" customHeight="1">
      <c r="A5" s="4" t="s">
        <v>262</v>
      </c>
      <c r="B5" s="7" t="str">
        <f>VLOOKUP(A5,'Soru Listesi'!A:G,3,0)</f>
      </c>
      <c r="C5" s="124" t="str">
        <f>VLOOKUP(A5,Veriler!A:D,4,0)</f>
      </c>
      <c r="D5" s="124" t="str">
        <f>VLOOKUP(A5,'Soru Listesi'!A:G,5,0)</f>
      </c>
      <c r="E5" s="90"/>
    </row>
    <row r="6" spans="1:5" ht="138" customHeight="1">
      <c r="A6" s="4" t="s">
        <v>264</v>
      </c>
      <c r="B6" s="7" t="str">
        <f>VLOOKUP(A6,'Soru Listesi'!A:G,3,0)</f>
      </c>
      <c r="C6" s="124" t="str">
        <f>VLOOKUP(A6,Veriler!A:D,4,0)</f>
      </c>
      <c r="D6" s="124" t="str">
        <f>VLOOKUP(A6,'Soru Listesi'!A:G,5,0)</f>
      </c>
      <c r="E6" s="90"/>
    </row>
    <row r="7" spans="1:5" ht="138" customHeight="1">
      <c r="A7" s="4" t="s">
        <v>266</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245</v>
      </c>
      <c r="C11" s="9" t="str">
        <f>VLOOKUP(B11,'Soru Listesi'!A:C,3,0)</f>
      </c>
      <c r="D11" s="9">
        <f>VLOOKUP(B11,Veriler!A:B,2,0)</f>
      </c>
    </row>
    <row r="12" spans="1:5">
      <c r="B12" s="9" t="s">
        <v>248</v>
      </c>
      <c r="C12" s="9" t="str">
        <f>VLOOKUP(B12,'Soru Listesi'!A:C,3,0)</f>
      </c>
      <c r="D12" s="9">
        <f>VLOOKUP(B12,Veriler!A:B,2,0)</f>
      </c>
    </row>
    <row r="13" spans="1:5">
      <c r="B13" s="9" t="s">
        <v>249</v>
      </c>
      <c r="C13" s="9" t="str">
        <f>VLOOKUP(B13,'Soru Listesi'!A:C,3,0)</f>
      </c>
      <c r="D13" s="9">
        <f>VLOOKUP(B13,Veriler!A:B,2,0)</f>
      </c>
    </row>
    <row r="14" spans="1:5">
      <c r="B14" s="9" t="s">
        <v>251</v>
      </c>
      <c r="C14" s="9" t="str">
        <f>VLOOKUP(B14,'Soru Listesi'!A:C,3,0)</f>
      </c>
      <c r="D14" s="9">
        <f>VLOOKUP(B14,Veriler!A:B,2,0)</f>
      </c>
    </row>
    <row r="15" spans="1:5">
      <c r="B15" s="9" t="s">
        <v>255</v>
      </c>
      <c r="C15" s="9" t="str">
        <f>VLOOKUP(B15,'Soru Listesi'!A:C,3,0)</f>
      </c>
      <c r="D15" s="9">
        <f>VLOOKUP(B15,Veriler!A:B,2,0)</f>
      </c>
    </row>
    <row r="16" spans="1:5">
      <c r="B16" s="9" t="s">
        <v>256</v>
      </c>
      <c r="C16" s="9" t="str">
        <f>VLOOKUP(B16,'Soru Listesi'!A:C,3,0)</f>
      </c>
      <c r="D16" s="9">
        <f>VLOOKUP(B16,Veriler!A:B,2,0)</f>
      </c>
    </row>
    <row r="17" spans="2:4">
      <c r="B17" s="9" t="s">
        <v>259</v>
      </c>
      <c r="C17" s="9" t="str">
        <f>VLOOKUP(B17,'Soru Listesi'!A:C,3,0)</f>
      </c>
      <c r="D17" s="9">
        <f>VLOOKUP(B17,Veriler!A:B,2,0)</f>
      </c>
    </row>
    <row r="18" spans="2:4">
      <c r="B18" s="9" t="s">
        <v>262</v>
      </c>
      <c r="C18" s="9" t="str">
        <f>VLOOKUP(B18,'Soru Listesi'!A:C,3,0)</f>
      </c>
      <c r="D18" s="9">
        <f>VLOOKUP(B18,Veriler!A:B,2,0)</f>
      </c>
    </row>
    <row r="19" spans="2:4">
      <c r="B19" s="9" t="s">
        <v>264</v>
      </c>
      <c r="C19" s="9" t="str">
        <f>VLOOKUP(B19,'Soru Listesi'!A:C,3,0)</f>
      </c>
      <c r="D19" s="9">
        <f>VLOOKUP(B19,Veriler!A:B,2,0)</f>
      </c>
    </row>
    <row r="20" spans="2:4">
      <c r="B20" s="9" t="s">
        <v>266</v>
      </c>
      <c r="C20" s="9" t="str">
        <f>VLOOKUP(B20,'Soru Listesi'!A:C,3,0)</f>
      </c>
      <c r="D20" s="9">
        <f>VLOOKUP(B20,Veriler!A:B,2,0)</f>
      </c>
    </row>
    <row r="21" spans="2:4">
      <c r="B21" s="9" t="s">
        <v>566</v>
      </c>
      <c r="C21" s="9" t="str">
        <f>VLOOKUP(B21,'Soru Listesi'!A:C,3,0)</f>
      </c>
      <c r="D21" s="9">
        <f>VLOOKUP(B21,Veriler!A:B,2,0)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ayfa39">
    <pageSetUpPr fitToPage="1"/>
  </sheetPr>
  <dimension ref="A1:E21"/>
  <sheetViews>
    <sheetView zoomScale="70" zoomScaleNormal="70" workbookViewId="0">
      <selection activeCell="C3" sqref="C3:D3"/>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566</v>
      </c>
      <c r="B3" s="12" t="str">
        <f>VLOOKUP(A3,'Soru Listesi'!A:G,3,0)</f>
      </c>
      <c r="C3" s="124" t="str">
        <f>VLOOKUP(A3,Veriler!A:D,4,0)</f>
      </c>
      <c r="D3" s="124" t="str">
        <f>VLOOKUP(A3,'Soru Listesi'!A:G,5,0)</f>
      </c>
      <c r="E3" s="90"/>
    </row>
    <row r="4" spans="1:5" ht="138" customHeight="1">
      <c r="A4" s="4"/>
      <c r="B4" s="12"/>
      <c r="C4" s="130"/>
      <c r="D4" s="130"/>
      <c r="E4" s="92"/>
    </row>
    <row r="5" spans="1:5" ht="138" customHeight="1">
      <c r="A5" s="4"/>
      <c r="B5" s="16"/>
      <c r="C5" s="130"/>
      <c r="D5" s="130"/>
      <c r="E5" s="92"/>
    </row>
    <row r="6" spans="1:5" ht="138" customHeight="1">
      <c r="A6" s="4"/>
      <c r="B6" s="16"/>
      <c r="C6" s="130"/>
      <c r="D6" s="130"/>
      <c r="E6" s="92"/>
    </row>
    <row r="7" spans="1:5" ht="138" customHeight="1">
      <c r="A7" s="4"/>
      <c r="B7" s="14"/>
      <c r="C7" s="130"/>
      <c r="D7" s="130"/>
      <c r="E7" s="92"/>
    </row>
    <row r="9" spans="1:5">
      <c r="C9" s="5"/>
    </row>
    <row r="10" spans="1:5">
      <c r="B10" s="10" t="s">
        <v>299</v>
      </c>
      <c r="C10" s="10" t="s">
        <v>9</v>
      </c>
      <c r="D10" s="10" t="s">
        <v>1</v>
      </c>
    </row>
    <row r="11" spans="1:5">
      <c r="B11" s="9" t="s">
        <v>245</v>
      </c>
      <c r="C11" s="9" t="str">
        <f>VLOOKUP(B11,'Soru Listesi'!A:C,3,0)</f>
      </c>
      <c r="D11" s="9">
        <f>VLOOKUP(B11,Veriler!A:B,2,0)</f>
      </c>
    </row>
    <row r="12" spans="1:5">
      <c r="B12" s="9" t="s">
        <v>248</v>
      </c>
      <c r="C12" s="9" t="str">
        <f>VLOOKUP(B12,'Soru Listesi'!A:C,3,0)</f>
      </c>
      <c r="D12" s="9">
        <f>VLOOKUP(B12,Veriler!A:B,2,0)</f>
      </c>
    </row>
    <row r="13" spans="1:5">
      <c r="B13" s="9" t="s">
        <v>249</v>
      </c>
      <c r="C13" s="9" t="str">
        <f>VLOOKUP(B13,'Soru Listesi'!A:C,3,0)</f>
      </c>
      <c r="D13" s="9">
        <f>VLOOKUP(B13,Veriler!A:B,2,0)</f>
      </c>
    </row>
    <row r="14" spans="1:5">
      <c r="B14" s="9" t="s">
        <v>251</v>
      </c>
      <c r="C14" s="9" t="str">
        <f>VLOOKUP(B14,'Soru Listesi'!A:C,3,0)</f>
      </c>
      <c r="D14" s="9">
        <f>VLOOKUP(B14,Veriler!A:B,2,0)</f>
      </c>
    </row>
    <row r="15" spans="1:5">
      <c r="B15" s="9" t="s">
        <v>255</v>
      </c>
      <c r="C15" s="9" t="str">
        <f>VLOOKUP(B15,'Soru Listesi'!A:C,3,0)</f>
      </c>
      <c r="D15" s="9">
        <f>VLOOKUP(B15,Veriler!A:B,2,0)</f>
      </c>
    </row>
    <row r="16" spans="1:5">
      <c r="B16" s="9" t="s">
        <v>256</v>
      </c>
      <c r="C16" s="9" t="str">
        <f>VLOOKUP(B16,'Soru Listesi'!A:C,3,0)</f>
      </c>
      <c r="D16" s="9">
        <f>VLOOKUP(B16,Veriler!A:B,2,0)</f>
      </c>
    </row>
    <row r="17" spans="2:4">
      <c r="B17" s="9" t="s">
        <v>259</v>
      </c>
      <c r="C17" s="9" t="str">
        <f>VLOOKUP(B17,'Soru Listesi'!A:C,3,0)</f>
      </c>
      <c r="D17" s="9">
        <f>VLOOKUP(B17,Veriler!A:B,2,0)</f>
      </c>
    </row>
    <row r="18" spans="2:4">
      <c r="B18" s="9" t="s">
        <v>262</v>
      </c>
      <c r="C18" s="9" t="str">
        <f>VLOOKUP(B18,'Soru Listesi'!A:C,3,0)</f>
      </c>
      <c r="D18" s="9">
        <f>VLOOKUP(B18,Veriler!A:B,2,0)</f>
      </c>
    </row>
    <row r="19" spans="2:4">
      <c r="B19" s="9" t="s">
        <v>264</v>
      </c>
      <c r="C19" s="9" t="str">
        <f>VLOOKUP(B19,'Soru Listesi'!A:C,3,0)</f>
      </c>
      <c r="D19" s="9">
        <f>VLOOKUP(B19,Veriler!A:B,2,0)</f>
      </c>
    </row>
    <row r="20" spans="2:4">
      <c r="B20" s="9" t="s">
        <v>266</v>
      </c>
      <c r="C20" s="9" t="str">
        <f>VLOOKUP(B20,'Soru Listesi'!A:C,3,0)</f>
      </c>
      <c r="D20" s="9">
        <f>VLOOKUP(B20,Veriler!A:B,2,0)</f>
      </c>
    </row>
    <row r="21" spans="2:4">
      <c r="B21" s="9" t="s">
        <v>566</v>
      </c>
      <c r="C21" s="9" t="str">
        <f>VLOOKUP(B21,'Soru Listesi'!A:C,3,0)</f>
      </c>
      <c r="D21" s="9">
        <f>VLOOKUP(B21,Veriler!A:B,2,0)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B2:N27"/>
  <sheetViews>
    <sheetView zoomScale="70" zoomScaleNormal="70" workbookViewId="0">
      <selection activeCell="C24" sqref="C24:N27"/>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ayfa40">
    <pageSetUpPr fitToPage="1"/>
  </sheetPr>
  <dimension ref="A1:E17"/>
  <sheetViews>
    <sheetView zoomScale="70" zoomScaleNormal="70" workbookViewId="0">
      <selection activeCell="I6" sqref="I6"/>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269</v>
      </c>
      <c r="B3" s="7" t="str">
        <f>VLOOKUP(A3,'Soru Listesi'!A:G,3,0)</f>
      </c>
      <c r="C3" s="124" t="str">
        <f>VLOOKUP(A3,Veriler!A:D,4,0)</f>
      </c>
      <c r="D3" s="124" t="str">
        <f>VLOOKUP(A3,'Soru Listesi'!A:G,5,0)</f>
      </c>
      <c r="E3" s="90"/>
    </row>
    <row r="4" spans="1:5" ht="138" customHeight="1">
      <c r="A4" s="4" t="s">
        <v>272</v>
      </c>
      <c r="B4" s="7" t="str">
        <f>VLOOKUP(A4,'Soru Listesi'!A:G,3,0)</f>
      </c>
      <c r="C4" s="124" t="str">
        <f>VLOOKUP(A4,Veriler!A:D,4,0)</f>
      </c>
      <c r="D4" s="124" t="str">
        <f>VLOOKUP(A4,'Soru Listesi'!A:G,5,0)</f>
      </c>
      <c r="E4" s="90"/>
    </row>
    <row r="5" spans="1:5" ht="138" customHeight="1">
      <c r="A5" s="4" t="s">
        <v>274</v>
      </c>
      <c r="B5" s="7" t="str">
        <f>VLOOKUP(A5,'Soru Listesi'!A:G,3,0)</f>
      </c>
      <c r="C5" s="124" t="str">
        <f>VLOOKUP(A5,Veriler!A:D,4,0)</f>
      </c>
      <c r="D5" s="124" t="str">
        <f>VLOOKUP(A5,'Soru Listesi'!A:G,5,0)</f>
      </c>
      <c r="E5" s="90"/>
    </row>
    <row r="6" spans="1:5" ht="138" customHeight="1">
      <c r="A6" s="4" t="s">
        <v>276</v>
      </c>
      <c r="B6" s="7" t="str">
        <f>VLOOKUP(A6,'Soru Listesi'!A:G,3,0)</f>
      </c>
      <c r="C6" s="124" t="str">
        <f>VLOOKUP(A6,Veriler!A:D,4,0)</f>
      </c>
      <c r="D6" s="124" t="str">
        <f>VLOOKUP(A6,'Soru Listesi'!A:G,5,0)</f>
      </c>
      <c r="E6" s="90"/>
    </row>
    <row r="7" spans="1:5" ht="138" customHeight="1">
      <c r="A7" s="4" t="s">
        <v>279</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269</v>
      </c>
      <c r="C11" s="9" t="str">
        <f>VLOOKUP(B11,'Soru Listesi'!A:C,3,0)</f>
      </c>
      <c r="D11" s="9">
        <f>VLOOKUP(B11,Veriler!A:B,2,0)</f>
      </c>
    </row>
    <row r="12" spans="1:5">
      <c r="B12" s="9" t="s">
        <v>272</v>
      </c>
      <c r="C12" s="9" t="str">
        <f>VLOOKUP(B12,'Soru Listesi'!A:C,3,0)</f>
      </c>
      <c r="D12" s="9">
        <f>VLOOKUP(B12,Veriler!A:B,2,0)</f>
      </c>
    </row>
    <row r="13" spans="1:5">
      <c r="B13" s="9" t="s">
        <v>274</v>
      </c>
      <c r="C13" s="9" t="str">
        <f>VLOOKUP(B13,'Soru Listesi'!A:C,3,0)</f>
      </c>
      <c r="D13" s="9">
        <f>VLOOKUP(B13,Veriler!A:B,2,0)</f>
      </c>
    </row>
    <row r="14" spans="1:5">
      <c r="B14" s="9" t="s">
        <v>276</v>
      </c>
      <c r="C14" s="9" t="str">
        <f>VLOOKUP(B14,'Soru Listesi'!A:C,3,0)</f>
      </c>
      <c r="D14" s="9">
        <f>VLOOKUP(B14,Veriler!A:B,2,0)</f>
      </c>
    </row>
    <row r="15" spans="1:5">
      <c r="B15" s="9" t="s">
        <v>279</v>
      </c>
      <c r="C15" s="9" t="str">
        <f>VLOOKUP(B15,'Soru Listesi'!A:C,3,0)</f>
      </c>
      <c r="D15" s="9">
        <f>VLOOKUP(B15,Veriler!A:B,2,0)</f>
      </c>
    </row>
    <row r="16" spans="1:5">
      <c r="B16" s="9" t="s">
        <v>282</v>
      </c>
      <c r="C16" s="9" t="str">
        <f>VLOOKUP(B16,'Soru Listesi'!A:C,3,0)</f>
      </c>
      <c r="D16" s="9">
        <f>VLOOKUP(B16,Veriler!A:B,2,0)</f>
      </c>
    </row>
    <row r="17" spans="2:4">
      <c r="B17" s="9" t="s">
        <v>567</v>
      </c>
      <c r="C17" s="9" t="str">
        <f>VLOOKUP(B17,'Soru Listesi'!A:C,3,0)</f>
      </c>
      <c r="D17" s="9">
        <f>VLOOKUP(B17,Veriler!A:B,2,0)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ayfa41">
    <pageSetUpPr fitToPage="1"/>
  </sheetPr>
  <dimension ref="A1:E17"/>
  <sheetViews>
    <sheetView zoomScale="70" zoomScaleNormal="70" workbookViewId="0">
      <selection activeCell="K6" sqref="K6"/>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6" t="str">
        <f>VLOOKUP(A3,'Soru Listesi'!A:F,6,0)</f>
      </c>
      <c r="D1" s="126"/>
      <c r="E1" s="126"/>
    </row>
    <row r="2" spans="1:5" ht="20" customHeight="1">
      <c r="A2" t="s">
        <v>298</v>
      </c>
      <c r="B2" s="91"/>
      <c r="C2" s="8" t="s">
        <v>296</v>
      </c>
      <c r="D2" s="8" t="s">
        <v>6</v>
      </c>
      <c r="E2" s="8" t="s">
        <v>297</v>
      </c>
    </row>
    <row r="3" spans="1:5" ht="138" customHeight="1">
      <c r="A3" s="4" t="s">
        <v>282</v>
      </c>
      <c r="B3" s="7" t="str">
        <f>VLOOKUP(A3,'Soru Listesi'!A:G,3,0)</f>
      </c>
      <c r="C3" s="124" t="str">
        <f>VLOOKUP(A3,Veriler!A:D,4,0)</f>
      </c>
      <c r="D3" s="124" t="str">
        <f>VLOOKUP(A3,'Soru Listesi'!A:G,5,0)</f>
      </c>
      <c r="E3" s="90"/>
    </row>
    <row r="4" spans="1:5" ht="138" customHeight="1">
      <c r="A4" s="4" t="s">
        <v>567</v>
      </c>
      <c r="B4" s="12" t="str">
        <f>VLOOKUP(A4,'Soru Listesi'!A:G,3,0)</f>
      </c>
      <c r="C4" s="129" t="str">
        <f>VLOOKUP(A4,Veriler!A:D,4,0)</f>
      </c>
      <c r="D4" s="129" t="str">
        <f>VLOOKUP(A4,'Soru Listesi'!A:G,5,0)</f>
      </c>
      <c r="E4" s="90"/>
    </row>
    <row r="5" spans="1:5" ht="138" customHeight="1">
      <c r="A5" s="4"/>
      <c r="B5" s="12"/>
      <c r="C5" s="6"/>
      <c r="D5" s="6"/>
      <c r="E5" s="92"/>
    </row>
    <row r="6" spans="1:5" ht="138" customHeight="1">
      <c r="A6" s="4"/>
      <c r="B6" s="16"/>
      <c r="C6" s="6"/>
      <c r="D6" s="6"/>
      <c r="E6" s="92"/>
    </row>
    <row r="7" spans="1:5" ht="138" customHeight="1">
      <c r="A7" s="4"/>
      <c r="B7" s="14"/>
      <c r="C7" s="6"/>
      <c r="D7" s="6"/>
      <c r="E7" s="92"/>
    </row>
    <row r="9" spans="1:5">
      <c r="C9" s="5"/>
    </row>
    <row r="10" spans="1:5">
      <c r="B10" s="10" t="s">
        <v>299</v>
      </c>
      <c r="C10" s="10" t="s">
        <v>9</v>
      </c>
      <c r="D10" s="10" t="s">
        <v>1</v>
      </c>
    </row>
    <row r="11" spans="1:5">
      <c r="B11" s="9" t="s">
        <v>269</v>
      </c>
      <c r="C11" s="9" t="str">
        <f>VLOOKUP(B11,'Soru Listesi'!A:C,3,0)</f>
      </c>
      <c r="D11" s="9">
        <f>VLOOKUP(B11,Veriler!A:B,2,0)</f>
      </c>
    </row>
    <row r="12" spans="1:5">
      <c r="B12" s="9" t="s">
        <v>272</v>
      </c>
      <c r="C12" s="9" t="str">
        <f>VLOOKUP(B12,'Soru Listesi'!A:C,3,0)</f>
      </c>
      <c r="D12" s="9">
        <f>VLOOKUP(B12,Veriler!A:B,2,0)</f>
      </c>
    </row>
    <row r="13" spans="1:5">
      <c r="B13" s="9" t="s">
        <v>274</v>
      </c>
      <c r="C13" s="9" t="str">
        <f>VLOOKUP(B13,'Soru Listesi'!A:C,3,0)</f>
      </c>
      <c r="D13" s="9">
        <f>VLOOKUP(B13,Veriler!A:B,2,0)</f>
      </c>
    </row>
    <row r="14" spans="1:5">
      <c r="B14" s="9" t="s">
        <v>276</v>
      </c>
      <c r="C14" s="9" t="str">
        <f>VLOOKUP(B14,'Soru Listesi'!A:C,3,0)</f>
      </c>
      <c r="D14" s="9">
        <f>VLOOKUP(B14,Veriler!A:B,2,0)</f>
      </c>
    </row>
    <row r="15" spans="1:5">
      <c r="B15" s="9" t="s">
        <v>279</v>
      </c>
      <c r="C15" s="9" t="str">
        <f>VLOOKUP(B15,'Soru Listesi'!A:C,3,0)</f>
      </c>
      <c r="D15" s="9">
        <f>VLOOKUP(B15,Veriler!A:B,2,0)</f>
      </c>
    </row>
    <row r="16" spans="1:5">
      <c r="B16" s="9" t="s">
        <v>282</v>
      </c>
      <c r="C16" s="9" t="str">
        <f>VLOOKUP(B16,'Soru Listesi'!A:C,3,0)</f>
      </c>
      <c r="D16" s="9">
        <f>VLOOKUP(B16,Veriler!A:B,2,0)</f>
      </c>
    </row>
    <row r="17" spans="2:4">
      <c r="B17" s="9" t="s">
        <v>567</v>
      </c>
      <c r="C17" s="9" t="str">
        <f>VLOOKUP(B17,'Soru Listesi'!A:C,3,0)</f>
      </c>
      <c r="D17" s="9">
        <f>VLOOKUP(B17,Veriler!A:B,2,0)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B2:N27"/>
  <sheetViews>
    <sheetView zoomScale="70" zoomScaleNormal="70" workbookViewId="0">
      <selection activeCell="C24" sqref="C24:N27"/>
    </sheetView>
  </sheetViews>
  <sheetFormatPr baseColWidth="10" defaultColWidth="8.83203125" defaultRowHeight="15"/>
  <cols>
    <col min="2" max="2" width="2.83203125" customWidth="1"/>
    <col min="3" max="14" width="12.83203125" customWidth="1"/>
  </cols>
  <sheetData>
    <row r="2" spans="2:14" ht="23.25" customHeight="1">
      <c r="B2" s="45"/>
      <c r="C2" s="95" t="str">
        <f ca="1">(CODE(UPPER(MID(CELL("dosyaadı",A1),FIND("]",CELL("dosyaadı",A1),1)+1,1)))-CODE("A")) &amp; " - " &amp;VLOOKUP(MID(CELL("dosyaadı",A1),FIND("]",CELL("dosyaadı",A1),1)+1,1),'Soru Listesi'!B:F,5,0)</f>
      </c>
      <c r="D2" s="95"/>
      <c r="E2" s="95"/>
      <c r="F2" s="95"/>
      <c r="G2" s="95"/>
      <c r="H2" s="95"/>
      <c r="I2" s="95"/>
      <c r="J2" s="95"/>
      <c r="K2" s="95"/>
      <c r="L2" s="95"/>
      <c r="M2" s="95"/>
      <c r="N2" s="95"/>
    </row>
    <row r="3" spans="2:14" ht="23.25" customHeight="1">
      <c r="B3" s="45"/>
      <c r="C3" s="95"/>
      <c r="D3" s="95"/>
      <c r="E3" s="95"/>
      <c r="F3" s="95"/>
      <c r="G3" s="95"/>
      <c r="H3" s="95"/>
      <c r="I3" s="95"/>
      <c r="J3" s="95"/>
      <c r="K3" s="95"/>
      <c r="L3" s="95"/>
      <c r="M3" s="95"/>
      <c r="N3" s="95"/>
    </row>
    <row r="4" spans="2:14" ht="23.25" customHeight="1">
      <c r="B4" s="45"/>
      <c r="C4" s="95"/>
      <c r="D4" s="95"/>
      <c r="E4" s="95"/>
      <c r="F4" s="95"/>
      <c r="G4" s="95"/>
      <c r="H4" s="95"/>
      <c r="I4" s="95"/>
      <c r="J4" s="95"/>
      <c r="K4" s="95"/>
      <c r="L4" s="95"/>
      <c r="M4" s="95"/>
      <c r="N4" s="95"/>
    </row>
    <row r="5" spans="2:14" ht="23.25" customHeight="1">
      <c r="B5" s="45"/>
      <c r="C5" s="95"/>
      <c r="D5" s="95"/>
      <c r="E5" s="95"/>
      <c r="F5" s="95"/>
      <c r="G5" s="95"/>
      <c r="H5" s="95"/>
      <c r="I5" s="95"/>
      <c r="J5" s="95"/>
      <c r="K5" s="95"/>
      <c r="L5" s="95"/>
      <c r="M5" s="95"/>
      <c r="N5" s="95"/>
    </row>
    <row r="6" spans="2:14" ht="23.25" customHeight="1">
      <c r="B6" s="45"/>
      <c r="C6" s="95"/>
      <c r="D6" s="95"/>
      <c r="E6" s="95"/>
      <c r="F6" s="95"/>
      <c r="G6" s="95"/>
      <c r="H6" s="95"/>
      <c r="I6" s="95"/>
      <c r="J6" s="95"/>
      <c r="K6" s="95"/>
      <c r="L6" s="95"/>
      <c r="M6" s="95"/>
      <c r="N6" s="95"/>
    </row>
    <row r="7" spans="2:14" ht="23.25" customHeight="1">
      <c r="B7" s="45"/>
      <c r="C7" s="95"/>
      <c r="D7" s="95"/>
      <c r="E7" s="95"/>
      <c r="F7" s="95"/>
      <c r="G7" s="95"/>
      <c r="H7" s="95"/>
      <c r="I7" s="95"/>
      <c r="J7" s="95"/>
      <c r="K7" s="95"/>
      <c r="L7" s="95"/>
      <c r="M7" s="95"/>
      <c r="N7" s="95"/>
    </row>
    <row r="8" spans="2:14" ht="23.25" customHeight="1">
      <c r="B8" s="45"/>
      <c r="C8" s="95"/>
      <c r="D8" s="95"/>
      <c r="E8" s="95"/>
      <c r="F8" s="95"/>
      <c r="G8" s="95"/>
      <c r="H8" s="95"/>
      <c r="I8" s="95"/>
      <c r="J8" s="95"/>
      <c r="K8" s="95"/>
      <c r="L8" s="95"/>
      <c r="M8" s="95"/>
      <c r="N8" s="95"/>
    </row>
    <row r="9" spans="2:14" ht="23.25" customHeight="1">
      <c r="B9" s="45"/>
      <c r="C9" s="95"/>
      <c r="D9" s="95"/>
      <c r="E9" s="95"/>
      <c r="F9" s="95"/>
      <c r="G9" s="95"/>
      <c r="H9" s="95"/>
      <c r="I9" s="95"/>
      <c r="J9" s="95"/>
      <c r="K9" s="95"/>
      <c r="L9" s="95"/>
      <c r="M9" s="95"/>
      <c r="N9" s="95"/>
    </row>
    <row r="10" spans="2:14" ht="23.25" customHeight="1">
      <c r="B10" s="45"/>
      <c r="C10" s="95"/>
      <c r="D10" s="95"/>
      <c r="E10" s="95"/>
      <c r="F10" s="95"/>
      <c r="G10" s="95"/>
      <c r="H10" s="95"/>
      <c r="I10" s="95"/>
      <c r="J10" s="95"/>
      <c r="K10" s="95"/>
      <c r="L10" s="95"/>
      <c r="M10" s="95"/>
      <c r="N10" s="95"/>
    </row>
    <row r="11" spans="2:14" ht="23.25" customHeight="1">
      <c r="B11" s="45"/>
      <c r="C11" s="95"/>
      <c r="D11" s="95"/>
      <c r="E11" s="95"/>
      <c r="F11" s="95"/>
      <c r="G11" s="95"/>
      <c r="H11" s="95"/>
      <c r="I11" s="95"/>
      <c r="J11" s="95"/>
      <c r="K11" s="95"/>
      <c r="L11" s="95"/>
      <c r="M11" s="95"/>
      <c r="N11" s="95"/>
    </row>
    <row r="12" spans="2:14" ht="23.25" customHeight="1">
      <c r="B12" s="49"/>
      <c r="C12" s="95"/>
      <c r="D12" s="95"/>
      <c r="E12" s="95"/>
      <c r="F12" s="95"/>
      <c r="G12" s="95"/>
      <c r="H12" s="95"/>
      <c r="I12" s="95"/>
      <c r="J12" s="95"/>
      <c r="K12" s="95"/>
      <c r="L12" s="95"/>
      <c r="M12" s="95"/>
      <c r="N12" s="95"/>
    </row>
    <row r="13" spans="2:14" ht="23.25" customHeight="1">
      <c r="B13" s="49"/>
      <c r="C13" s="95"/>
      <c r="D13" s="95"/>
      <c r="E13" s="95"/>
      <c r="F13" s="95"/>
      <c r="G13" s="95"/>
      <c r="H13" s="95"/>
      <c r="I13" s="95"/>
      <c r="J13" s="95"/>
      <c r="K13" s="95"/>
      <c r="L13" s="95"/>
      <c r="M13" s="95"/>
      <c r="N13" s="95"/>
    </row>
    <row r="14" spans="2:14" ht="23.25" customHeight="1">
      <c r="C14" s="95"/>
      <c r="D14" s="95"/>
      <c r="E14" s="95"/>
      <c r="F14" s="95"/>
      <c r="G14" s="95"/>
      <c r="H14" s="95"/>
      <c r="I14" s="95"/>
      <c r="J14" s="95"/>
      <c r="K14" s="95"/>
      <c r="L14" s="95"/>
      <c r="M14" s="95"/>
      <c r="N14" s="95"/>
    </row>
    <row r="15" spans="2:14" ht="23.25" customHeight="1">
      <c r="C15" s="95"/>
      <c r="D15" s="95"/>
      <c r="E15" s="95"/>
      <c r="F15" s="95"/>
      <c r="G15" s="95"/>
      <c r="H15" s="95"/>
      <c r="I15" s="95"/>
      <c r="J15" s="95"/>
      <c r="K15" s="95"/>
      <c r="L15" s="95"/>
      <c r="M15" s="95"/>
      <c r="N15" s="95"/>
    </row>
    <row r="16" spans="2:14" ht="23.25" customHeight="1">
      <c r="C16" s="95"/>
      <c r="D16" s="95"/>
      <c r="E16" s="95"/>
      <c r="F16" s="95"/>
      <c r="G16" s="95"/>
      <c r="H16" s="95"/>
      <c r="I16" s="95"/>
      <c r="J16" s="95"/>
      <c r="K16" s="95"/>
      <c r="L16" s="95"/>
      <c r="M16" s="95"/>
      <c r="N16" s="95"/>
    </row>
    <row r="17" spans="3:14" ht="23.25" customHeight="1">
      <c r="C17" s="95"/>
      <c r="D17" s="95"/>
      <c r="E17" s="95"/>
      <c r="F17" s="95"/>
      <c r="G17" s="95"/>
      <c r="H17" s="95"/>
      <c r="I17" s="95"/>
      <c r="J17" s="95"/>
      <c r="K17" s="95"/>
      <c r="L17" s="95"/>
      <c r="M17" s="95"/>
      <c r="N17" s="95"/>
    </row>
    <row r="18" spans="3:14" ht="23.25" customHeight="1">
      <c r="C18" s="95"/>
      <c r="D18" s="95"/>
      <c r="E18" s="95"/>
      <c r="F18" s="95"/>
      <c r="G18" s="95"/>
      <c r="H18" s="95"/>
      <c r="I18" s="95"/>
      <c r="J18" s="95"/>
      <c r="K18" s="95"/>
      <c r="L18" s="95"/>
      <c r="M18" s="95"/>
      <c r="N18" s="95"/>
    </row>
    <row r="19" spans="3:14" ht="23.25" customHeight="1">
      <c r="C19" s="95"/>
      <c r="D19" s="95"/>
      <c r="E19" s="95"/>
      <c r="F19" s="95"/>
      <c r="G19" s="95"/>
      <c r="H19" s="95"/>
      <c r="I19" s="95"/>
      <c r="J19" s="95"/>
      <c r="K19" s="95"/>
      <c r="L19" s="95"/>
      <c r="M19" s="95"/>
      <c r="N19" s="95"/>
    </row>
    <row r="20" spans="3:14" ht="23.25" customHeight="1">
      <c r="C20" s="95"/>
      <c r="D20" s="95"/>
      <c r="E20" s="95"/>
      <c r="F20" s="95"/>
      <c r="G20" s="95"/>
      <c r="H20" s="95"/>
      <c r="I20" s="95"/>
      <c r="J20" s="95"/>
      <c r="K20" s="95"/>
      <c r="L20" s="95"/>
      <c r="M20" s="95"/>
      <c r="N20" s="95"/>
    </row>
    <row r="21" spans="3:14" ht="23.25" customHeight="1">
      <c r="C21" s="95"/>
      <c r="D21" s="95"/>
      <c r="E21" s="95"/>
      <c r="F21" s="95"/>
      <c r="G21" s="95"/>
      <c r="H21" s="95"/>
      <c r="I21" s="95"/>
      <c r="J21" s="95"/>
      <c r="K21" s="95"/>
      <c r="L21" s="95"/>
      <c r="M21" s="95"/>
      <c r="N21" s="95"/>
    </row>
    <row r="22" spans="3:14" ht="23.25" customHeight="1">
      <c r="C22" s="95"/>
      <c r="D22" s="95"/>
      <c r="E22" s="95"/>
      <c r="F22" s="95"/>
      <c r="G22" s="95"/>
      <c r="H22" s="95"/>
      <c r="I22" s="95"/>
      <c r="J22" s="95"/>
      <c r="K22" s="95"/>
      <c r="L22" s="95"/>
      <c r="M22" s="95"/>
      <c r="N22" s="95"/>
    </row>
    <row r="23" spans="3:14" ht="23.25" customHeight="1">
      <c r="C23" s="95"/>
      <c r="D23" s="95"/>
      <c r="E23" s="95"/>
      <c r="F23" s="95"/>
      <c r="G23" s="95"/>
      <c r="H23" s="95"/>
      <c r="I23" s="95"/>
      <c r="J23" s="95"/>
      <c r="K23" s="95"/>
      <c r="L23" s="95"/>
      <c r="M23" s="95"/>
      <c r="N23" s="95"/>
    </row>
    <row r="24" spans="3:14" ht="23.25" customHeight="1">
      <c r="C24" s="45"/>
      <c r="D24" s="45"/>
      <c r="E24" s="45"/>
      <c r="F24" s="45"/>
      <c r="G24" s="45"/>
      <c r="H24" s="45"/>
      <c r="I24" s="45"/>
      <c r="J24" s="45"/>
      <c r="K24" s="45"/>
      <c r="L24" s="45"/>
      <c r="M24" s="45"/>
      <c r="N24" s="45"/>
    </row>
    <row r="25" spans="3:14" ht="23.25" customHeight="1">
      <c r="C25" s="45"/>
      <c r="D25" s="45"/>
      <c r="E25" s="45"/>
      <c r="F25" s="45"/>
      <c r="G25" s="45"/>
      <c r="H25" s="45"/>
      <c r="I25" s="45"/>
      <c r="J25" s="45"/>
      <c r="K25" s="45"/>
      <c r="L25" s="45"/>
      <c r="M25" s="45"/>
      <c r="N25" s="45"/>
    </row>
    <row r="26" spans="3:14" ht="23.25" customHeight="1">
      <c r="C26" s="45"/>
      <c r="D26" s="45"/>
      <c r="E26" s="45"/>
      <c r="F26" s="45"/>
      <c r="G26" s="45"/>
      <c r="H26" s="45"/>
      <c r="I26" s="45"/>
      <c r="J26" s="45"/>
      <c r="K26" s="45"/>
      <c r="L26" s="45"/>
      <c r="M26" s="45"/>
      <c r="N26" s="45"/>
    </row>
    <row r="27" spans="3:14" ht="23.25" customHeight="1">
      <c r="C27" s="45"/>
      <c r="D27" s="45"/>
      <c r="E27" s="45"/>
      <c r="F27" s="45"/>
      <c r="G27" s="45"/>
      <c r="H27" s="45"/>
      <c r="I27" s="45"/>
      <c r="J27" s="45"/>
      <c r="K27" s="45"/>
      <c r="L27" s="45"/>
      <c r="M27" s="45"/>
      <c r="N27" s="45"/>
    </row>
  </sheetData>
  <mergeCells count="4">
    <mergeCell ref="B2:B11"/>
    <mergeCell ref="C2:N23"/>
    <mergeCell ref="B12:B13"/>
    <mergeCell ref="C24:N27"/>
  </mergeCells>
  <pageMargins left="0.23622047244094491" right="0.23622047244094491" top="0.23622047244094491" bottom="0.23622047244094491" header="0.31496062992125984" footer="0.31496062992125984"/>
  <pageSetup paperSize="9" scale="91" fitToHeight="0" orientation="landscape"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ayfa42">
    <pageSetUpPr fitToPage="1"/>
  </sheetPr>
  <dimension ref="A1:E17"/>
  <sheetViews>
    <sheetView zoomScale="70" zoomScaleNormal="70" workbookViewId="0">
      <selection activeCell="O6" sqref="O6"/>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283</v>
      </c>
      <c r="B3" s="7" t="str">
        <f>VLOOKUP(A3,'Soru Listesi'!A:G,3,0)</f>
      </c>
      <c r="C3" s="124" t="str">
        <f>VLOOKUP(A3,Veriler!A:D,4,0)</f>
      </c>
      <c r="D3" s="124" t="str">
        <f>VLOOKUP(A3,'Soru Listesi'!A:G,5,0)</f>
      </c>
      <c r="E3" s="90"/>
    </row>
    <row r="4" spans="1:5" ht="138" customHeight="1">
      <c r="A4" s="4" t="s">
        <v>286</v>
      </c>
      <c r="B4" s="7" t="str">
        <f>VLOOKUP(A4,'Soru Listesi'!A:G,3,0)</f>
      </c>
      <c r="C4" s="124" t="str">
        <f>VLOOKUP(A4,Veriler!A:D,4,0)</f>
      </c>
      <c r="D4" s="124" t="str">
        <f>VLOOKUP(A4,'Soru Listesi'!A:G,5,0)</f>
      </c>
      <c r="E4" s="90"/>
    </row>
    <row r="5" spans="1:5" ht="138" customHeight="1">
      <c r="A5" s="4" t="s">
        <v>288</v>
      </c>
      <c r="B5" s="7" t="str">
        <f>VLOOKUP(A5,'Soru Listesi'!A:G,3,0)</f>
      </c>
      <c r="C5" s="124" t="str">
        <f>VLOOKUP(A5,Veriler!A:D,4,0)</f>
      </c>
      <c r="D5" s="124" t="str">
        <f>VLOOKUP(A5,'Soru Listesi'!A:G,5,0)</f>
      </c>
      <c r="E5" s="90"/>
    </row>
    <row r="6" spans="1:5" ht="138" customHeight="1">
      <c r="A6" s="4" t="s">
        <v>289</v>
      </c>
      <c r="B6" s="7" t="str">
        <f>VLOOKUP(A6,'Soru Listesi'!A:G,3,0)</f>
      </c>
      <c r="C6" s="124" t="str">
        <f>VLOOKUP(A6,Veriler!A:D,4,0)</f>
      </c>
      <c r="D6" s="124" t="str">
        <f>VLOOKUP(A6,'Soru Listesi'!A:G,5,0)</f>
      </c>
      <c r="E6" s="90"/>
    </row>
    <row r="7" spans="1:5" ht="138" customHeight="1">
      <c r="A7" s="4" t="s">
        <v>291</v>
      </c>
      <c r="B7" s="7" t="str">
        <f>VLOOKUP(A7,'Soru Listesi'!A:G,3,0)</f>
      </c>
      <c r="C7" s="124" t="str">
        <f>VLOOKUP(A7,Veriler!A:D,4,0)</f>
      </c>
      <c r="D7" s="124" t="str">
        <f>VLOOKUP(A7,'Soru Listesi'!A:G,5,0)</f>
      </c>
      <c r="E7" s="90"/>
    </row>
    <row r="9" spans="1:5">
      <c r="C9" s="5"/>
    </row>
    <row r="10" spans="1:5">
      <c r="B10" s="10" t="s">
        <v>299</v>
      </c>
      <c r="C10" s="10" t="s">
        <v>9</v>
      </c>
      <c r="D10" s="10" t="s">
        <v>1</v>
      </c>
    </row>
    <row r="11" spans="1:5">
      <c r="B11" s="9" t="s">
        <v>283</v>
      </c>
      <c r="C11" s="9" t="str">
        <f>VLOOKUP(B11,'Soru Listesi'!A:C,3,0)</f>
      </c>
      <c r="D11" s="9">
        <f>VLOOKUP(B11,Veriler!A:B,2,0)</f>
      </c>
    </row>
    <row r="12" spans="1:5">
      <c r="B12" s="9" t="s">
        <v>286</v>
      </c>
      <c r="C12" s="9" t="str">
        <f>VLOOKUP(B12,'Soru Listesi'!A:C,3,0)</f>
      </c>
      <c r="D12" s="9">
        <f>VLOOKUP(B12,Veriler!A:B,2,0)</f>
      </c>
    </row>
    <row r="13" spans="1:5">
      <c r="B13" s="9" t="s">
        <v>288</v>
      </c>
      <c r="C13" s="9" t="str">
        <f>VLOOKUP(B13,'Soru Listesi'!A:C,3,0)</f>
      </c>
      <c r="D13" s="9">
        <f>VLOOKUP(B13,Veriler!A:B,2,0)</f>
      </c>
    </row>
    <row r="14" spans="1:5">
      <c r="B14" s="9" t="s">
        <v>289</v>
      </c>
      <c r="C14" s="9" t="str">
        <f>VLOOKUP(B14,'Soru Listesi'!A:C,3,0)</f>
      </c>
      <c r="D14" s="9">
        <f>VLOOKUP(B14,Veriler!A:B,2,0)</f>
      </c>
    </row>
    <row r="15" spans="1:5">
      <c r="B15" s="9" t="s">
        <v>291</v>
      </c>
      <c r="C15" s="9" t="str">
        <f>VLOOKUP(B15,'Soru Listesi'!A:C,3,0)</f>
      </c>
      <c r="D15" s="9">
        <f>VLOOKUP(B15,Veriler!A:B,2,0)</f>
      </c>
    </row>
    <row r="16" spans="1:5">
      <c r="B16" s="9" t="s">
        <v>293</v>
      </c>
      <c r="C16" s="9" t="str">
        <f>VLOOKUP(B16,'Soru Listesi'!A:C,3,0)</f>
      </c>
      <c r="D16" s="9">
        <f>VLOOKUP(B16,Veriler!A:B,2,0)</f>
      </c>
    </row>
    <row r="17" spans="2:4">
      <c r="B17" s="9" t="s">
        <v>294</v>
      </c>
      <c r="C17" s="9" t="str">
        <f>VLOOKUP(B17,'Soru Listesi'!A:C,3,0)</f>
      </c>
      <c r="D17" s="9">
        <f>VLOOKUP(B17,Veriler!A:B,2,0)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ayfa43">
    <pageSetUpPr fitToPage="1"/>
  </sheetPr>
  <dimension ref="A1:E17"/>
  <sheetViews>
    <sheetView zoomScale="70" zoomScaleNormal="70" workbookViewId="0">
      <selection activeCell="J5" sqref="J5"/>
    </sheetView>
  </sheetViews>
  <sheetFormatPr baseColWidth="10" defaultColWidth="8.83203125" defaultRowHeight="15"/>
  <cols>
    <col min="2" max="2" width="6.1640625" bestFit="1" customWidth="1"/>
    <col min="3" max="4" width="55.83203125" customWidth="1"/>
    <col min="5" max="5" width="70.83203125" customWidth="1"/>
  </cols>
  <sheetData>
    <row r="1" spans="1:5" ht="20" customHeight="1">
      <c r="B1" s="91" t="s">
        <v>295</v>
      </c>
      <c r="C1" s="127" t="str">
        <f>VLOOKUP(A3,'Soru Listesi'!A:F,6,0)</f>
      </c>
      <c r="D1" s="127"/>
      <c r="E1" s="127"/>
    </row>
    <row r="2" spans="1:5" ht="20" customHeight="1">
      <c r="A2" t="s">
        <v>298</v>
      </c>
      <c r="B2" s="91"/>
      <c r="C2" s="8" t="s">
        <v>296</v>
      </c>
      <c r="D2" s="8" t="s">
        <v>6</v>
      </c>
      <c r="E2" s="8" t="s">
        <v>297</v>
      </c>
    </row>
    <row r="3" spans="1:5" ht="138" customHeight="1">
      <c r="A3" s="4" t="s">
        <v>293</v>
      </c>
      <c r="B3" s="7" t="str">
        <f>VLOOKUP(A3,'Soru Listesi'!A:G,3,0)</f>
      </c>
      <c r="C3" s="123" t="str">
        <f>VLOOKUP(A3,Veriler!A:D,4,0)</f>
      </c>
      <c r="D3" s="123" t="str">
        <f>VLOOKUP(A3,'Soru Listesi'!A:G,5,0)</f>
      </c>
      <c r="E3" s="90"/>
    </row>
    <row r="4" spans="1:5" ht="138" customHeight="1">
      <c r="A4" s="4" t="s">
        <v>294</v>
      </c>
      <c r="B4" s="12" t="str">
        <f>VLOOKUP(A4,'Soru Listesi'!A:G,3,0)</f>
      </c>
      <c r="C4" s="123" t="str">
        <f>VLOOKUP(A4,Veriler!A:D,4,0)</f>
      </c>
      <c r="D4" s="123" t="str">
        <f>VLOOKUP(A4,'Soru Listesi'!A:G,5,0)</f>
      </c>
      <c r="E4" s="90"/>
    </row>
    <row r="5" spans="1:5" ht="138" customHeight="1">
      <c r="A5" s="4"/>
      <c r="B5" s="12"/>
      <c r="C5" s="6"/>
      <c r="D5" s="6"/>
      <c r="E5" s="92"/>
    </row>
    <row r="6" spans="1:5" ht="138" customHeight="1">
      <c r="A6" s="4"/>
      <c r="B6" s="16"/>
      <c r="C6" s="6"/>
      <c r="D6" s="6"/>
      <c r="E6" s="92"/>
    </row>
    <row r="7" spans="1:5" ht="138" customHeight="1">
      <c r="A7" s="4"/>
      <c r="B7" s="14"/>
      <c r="C7" s="6"/>
      <c r="D7" s="6"/>
      <c r="E7" s="92"/>
    </row>
    <row r="9" spans="1:5">
      <c r="C9" s="5"/>
    </row>
    <row r="10" spans="1:5">
      <c r="B10" s="10" t="s">
        <v>299</v>
      </c>
      <c r="C10" s="10" t="s">
        <v>9</v>
      </c>
      <c r="D10" s="10" t="s">
        <v>1</v>
      </c>
    </row>
    <row r="11" spans="1:5">
      <c r="B11" s="9" t="s">
        <v>283</v>
      </c>
      <c r="C11" s="9" t="str">
        <f>VLOOKUP(B11,'Soru Listesi'!A:C,3,0)</f>
      </c>
      <c r="D11" s="9">
        <f>VLOOKUP(B11,Veriler!A:B,2,0)</f>
      </c>
    </row>
    <row r="12" spans="1:5">
      <c r="B12" s="9" t="s">
        <v>286</v>
      </c>
      <c r="C12" s="9" t="str">
        <f>VLOOKUP(B12,'Soru Listesi'!A:C,3,0)</f>
      </c>
      <c r="D12" s="9">
        <f>VLOOKUP(B12,Veriler!A:B,2,0)</f>
      </c>
    </row>
    <row r="13" spans="1:5">
      <c r="B13" s="9" t="s">
        <v>288</v>
      </c>
      <c r="C13" s="9" t="str">
        <f>VLOOKUP(B13,'Soru Listesi'!A:C,3,0)</f>
      </c>
      <c r="D13" s="9">
        <f>VLOOKUP(B13,Veriler!A:B,2,0)</f>
      </c>
    </row>
    <row r="14" spans="1:5">
      <c r="B14" s="9" t="s">
        <v>289</v>
      </c>
      <c r="C14" s="9" t="str">
        <f>VLOOKUP(B14,'Soru Listesi'!A:C,3,0)</f>
      </c>
      <c r="D14" s="9">
        <f>VLOOKUP(B14,Veriler!A:B,2,0)</f>
      </c>
    </row>
    <row r="15" spans="1:5">
      <c r="B15" s="9" t="s">
        <v>291</v>
      </c>
      <c r="C15" s="9" t="str">
        <f>VLOOKUP(B15,'Soru Listesi'!A:C,3,0)</f>
      </c>
      <c r="D15" s="9">
        <f>VLOOKUP(B15,Veriler!A:B,2,0)</f>
      </c>
    </row>
    <row r="16" spans="1:5">
      <c r="B16" s="9" t="s">
        <v>293</v>
      </c>
      <c r="C16" s="9" t="str">
        <f>VLOOKUP(B16,'Soru Listesi'!A:C,3,0)</f>
      </c>
      <c r="D16" s="9">
        <f>VLOOKUP(B16,Veriler!A:B,2,0)</f>
      </c>
    </row>
    <row r="17" spans="2:4">
      <c r="B17" s="9" t="s">
        <v>294</v>
      </c>
      <c r="C17" s="9" t="str">
        <f>VLOOKUP(B17,'Soru Listesi'!A:C,3,0)</f>
      </c>
      <c r="D17" s="9">
        <f>VLOOKUP(B17,Veriler!A:B,2,0)</f>
      </c>
    </row>
  </sheetData>
  <mergeCells count="3">
    <mergeCell ref="B1:B2"/>
    <mergeCell ref="C1:E1"/>
    <mergeCell ref="E3:E7"/>
  </mergeCells>
  <pageMargins left="0.23622047244094491" right="0.23622047244094491" top="0.23622047244094491" bottom="0.23622047244094491" header="0.31496062992125984" footer="0.31496062992125984"/>
  <pageSetup paperSize="9" scale="75" fitToHeight="0" orientation="landscape"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B2:N28"/>
  <sheetViews>
    <sheetView zoomScale="60" zoomScaleNormal="60" workbookViewId="0">
      <selection activeCell="U35" sqref="U35"/>
    </sheetView>
  </sheetViews>
  <sheetFormatPr baseColWidth="10" defaultColWidth="8.83203125" defaultRowHeight="15"/>
  <cols>
    <col min="2" max="6" width="12.83203125" customWidth="1"/>
    <col min="7" max="7" width="2.83203125" customWidth="1"/>
    <col min="8" max="14" width="12.83203125" customWidth="1"/>
  </cols>
  <sheetData>
    <row r="2" spans="2:14" ht="23.25" customHeight="1">
      <c r="B2" s="45"/>
      <c r="C2" s="45"/>
      <c r="D2" s="45"/>
      <c r="E2" s="45"/>
      <c r="F2" s="45"/>
      <c r="G2" s="45"/>
      <c r="H2" s="45"/>
      <c r="I2" s="45"/>
      <c r="J2" s="45"/>
      <c r="K2" s="45"/>
      <c r="L2" s="45"/>
      <c r="M2" s="45"/>
      <c r="N2" s="45"/>
    </row>
    <row r="3" spans="2:14" ht="23.25" customHeight="1">
      <c r="B3" s="45"/>
      <c r="C3" s="45"/>
      <c r="D3" s="45"/>
      <c r="E3" s="45"/>
      <c r="F3" s="45"/>
      <c r="G3" s="45"/>
      <c r="H3" s="45"/>
      <c r="I3" s="45"/>
      <c r="J3" s="45"/>
      <c r="K3" s="45"/>
      <c r="L3" s="45"/>
      <c r="M3" s="45"/>
      <c r="N3" s="45"/>
    </row>
    <row r="4" spans="2:14" ht="23.25" customHeight="1">
      <c r="B4" s="45"/>
      <c r="C4" s="45"/>
      <c r="D4" s="45"/>
      <c r="E4" s="45"/>
      <c r="F4" s="45"/>
      <c r="G4" s="45"/>
      <c r="H4" s="45"/>
      <c r="I4" s="45"/>
      <c r="J4" s="45"/>
      <c r="K4" s="45"/>
      <c r="L4" s="45"/>
      <c r="M4" s="45"/>
      <c r="N4" s="45"/>
    </row>
    <row r="5" spans="2:14" ht="23.25" customHeight="1">
      <c r="B5" s="45"/>
      <c r="C5" s="45"/>
      <c r="D5" s="45"/>
      <c r="E5" s="45"/>
      <c r="F5" s="45"/>
      <c r="G5" s="45"/>
      <c r="H5" s="45"/>
      <c r="I5" s="45"/>
      <c r="J5" s="45"/>
      <c r="K5" s="45"/>
      <c r="L5" s="45"/>
      <c r="M5" s="45"/>
      <c r="N5" s="45"/>
    </row>
    <row r="6" spans="2:14" ht="23.25" customHeight="1">
      <c r="B6" s="45"/>
      <c r="C6" s="45"/>
      <c r="D6" s="45"/>
      <c r="E6" s="45"/>
      <c r="F6" s="45"/>
      <c r="G6" s="45"/>
      <c r="H6" s="45"/>
      <c r="I6" s="45"/>
      <c r="J6" s="45"/>
      <c r="K6" s="45"/>
      <c r="L6" s="45"/>
      <c r="M6" s="45"/>
      <c r="N6" s="45"/>
    </row>
    <row r="7" spans="2:14" ht="23.25" customHeight="1">
      <c r="B7" s="45"/>
      <c r="C7" s="45"/>
      <c r="D7" s="45"/>
      <c r="E7" s="45"/>
      <c r="F7" s="45"/>
      <c r="G7" s="45"/>
      <c r="H7" s="45"/>
      <c r="I7" s="45"/>
      <c r="J7" s="45"/>
      <c r="K7" s="45"/>
      <c r="L7" s="45"/>
      <c r="M7" s="45"/>
      <c r="N7" s="45"/>
    </row>
    <row r="8" spans="2:14" ht="23.25" customHeight="1">
      <c r="B8" s="45"/>
      <c r="C8" s="45"/>
      <c r="D8" s="45"/>
      <c r="E8" s="45"/>
      <c r="F8" s="45"/>
      <c r="G8" s="45"/>
      <c r="H8" s="45"/>
      <c r="I8" s="45"/>
      <c r="J8" s="45"/>
      <c r="K8" s="45"/>
      <c r="L8" s="45"/>
      <c r="M8" s="45"/>
      <c r="N8" s="45"/>
    </row>
    <row r="9" spans="2:14" ht="23.25" customHeight="1">
      <c r="B9" s="45"/>
      <c r="C9" s="45"/>
      <c r="D9" s="45"/>
      <c r="E9" s="45"/>
      <c r="F9" s="45"/>
      <c r="G9" s="45"/>
      <c r="H9" s="45"/>
      <c r="I9" s="45"/>
      <c r="J9" s="45"/>
      <c r="K9" s="45"/>
      <c r="L9" s="45"/>
      <c r="M9" s="45"/>
      <c r="N9" s="45"/>
    </row>
    <row r="10" spans="2:14" ht="23.25" customHeight="1">
      <c r="B10" s="45"/>
      <c r="C10" s="45"/>
      <c r="D10" s="45"/>
      <c r="E10" s="45"/>
      <c r="F10" s="45"/>
      <c r="G10" s="45"/>
      <c r="H10" s="45"/>
      <c r="I10" s="45"/>
      <c r="J10" s="45"/>
      <c r="K10" s="45"/>
      <c r="L10" s="45"/>
      <c r="M10" s="45"/>
      <c r="N10" s="45"/>
    </row>
    <row r="11" spans="2:14" ht="23.25" customHeight="1">
      <c r="B11" s="45"/>
      <c r="C11" s="45"/>
      <c r="D11" s="45"/>
      <c r="E11" s="45"/>
      <c r="F11" s="45"/>
      <c r="G11" s="45"/>
      <c r="H11" s="45"/>
      <c r="I11" s="45"/>
      <c r="J11" s="45"/>
      <c r="K11" s="45"/>
      <c r="L11" s="45"/>
      <c r="M11" s="45"/>
      <c r="N11" s="45"/>
    </row>
    <row r="12" spans="2:14" ht="23.25" customHeight="1">
      <c r="B12" s="45"/>
      <c r="C12" s="45"/>
      <c r="D12" s="45"/>
      <c r="E12" s="45"/>
      <c r="F12" s="45"/>
      <c r="G12" s="45"/>
      <c r="H12" s="45"/>
      <c r="I12" s="45"/>
      <c r="J12" s="45"/>
      <c r="K12" s="45"/>
      <c r="L12" s="45"/>
      <c r="M12" s="45"/>
      <c r="N12" s="45"/>
    </row>
    <row r="13" spans="2:14" ht="23.25" customHeight="1">
      <c r="B13" s="45"/>
      <c r="C13" s="45"/>
      <c r="D13" s="45"/>
      <c r="E13" s="45"/>
      <c r="F13" s="45"/>
      <c r="G13" s="45"/>
      <c r="H13" s="45"/>
      <c r="I13" s="45"/>
      <c r="J13" s="45"/>
      <c r="K13" s="45"/>
      <c r="L13" s="45"/>
      <c r="M13" s="45"/>
      <c r="N13" s="45"/>
    </row>
    <row r="14" spans="2:14" ht="23.25" customHeight="1">
      <c r="B14" s="45"/>
      <c r="C14" s="45"/>
      <c r="D14" s="45"/>
      <c r="E14" s="45"/>
      <c r="F14" s="45"/>
      <c r="G14" s="45"/>
      <c r="H14" s="45"/>
      <c r="I14" s="45"/>
      <c r="J14" s="45"/>
      <c r="K14" s="45"/>
      <c r="L14" s="45"/>
      <c r="M14" s="45"/>
      <c r="N14" s="45"/>
    </row>
    <row r="15" spans="2:14" ht="23.25" customHeight="1">
      <c r="B15" s="45"/>
      <c r="C15" s="45"/>
      <c r="D15" s="45"/>
      <c r="E15" s="45"/>
      <c r="F15" s="45"/>
      <c r="G15" s="45"/>
      <c r="H15" s="45"/>
      <c r="I15" s="45"/>
      <c r="J15" s="45"/>
      <c r="K15" s="45"/>
      <c r="L15" s="45"/>
      <c r="M15" s="45"/>
      <c r="N15" s="45"/>
    </row>
    <row r="16" spans="2:14" ht="23.25" customHeight="1">
      <c r="B16" s="45"/>
      <c r="C16" s="45"/>
      <c r="D16" s="45"/>
      <c r="E16" s="45"/>
      <c r="F16" s="45"/>
      <c r="G16" s="45"/>
      <c r="H16" s="45"/>
      <c r="I16" s="45"/>
      <c r="J16" s="45"/>
      <c r="K16" s="45"/>
      <c r="L16" s="45"/>
      <c r="M16" s="45"/>
      <c r="N16" s="45"/>
    </row>
    <row r="17" spans="2:14" ht="23.25" customHeight="1">
      <c r="B17" s="45"/>
      <c r="C17" s="45"/>
      <c r="D17" s="45"/>
      <c r="E17" s="45"/>
      <c r="F17" s="45"/>
      <c r="G17" s="45"/>
      <c r="H17" s="45"/>
      <c r="I17" s="45"/>
      <c r="J17" s="45"/>
      <c r="K17" s="45"/>
      <c r="L17" s="45"/>
      <c r="M17" s="45"/>
      <c r="N17" s="45"/>
    </row>
    <row r="18" spans="2:14" ht="23.25" customHeight="1">
      <c r="B18" s="45"/>
      <c r="C18" s="45"/>
      <c r="D18" s="45"/>
      <c r="E18" s="45"/>
      <c r="F18" s="45"/>
      <c r="G18" s="45"/>
      <c r="H18" s="45"/>
      <c r="I18" s="45"/>
      <c r="J18" s="45"/>
      <c r="K18" s="45"/>
      <c r="L18" s="45"/>
      <c r="M18" s="45"/>
      <c r="N18" s="45"/>
    </row>
    <row r="19" spans="2:14" ht="23.25" customHeight="1">
      <c r="B19" s="45"/>
      <c r="C19" s="45"/>
      <c r="D19" s="45"/>
      <c r="E19" s="45"/>
      <c r="F19" s="45"/>
      <c r="G19" s="45"/>
      <c r="H19" s="45"/>
      <c r="I19" s="45"/>
      <c r="J19" s="45"/>
      <c r="K19" s="45"/>
      <c r="L19" s="45"/>
      <c r="M19" s="45"/>
      <c r="N19" s="45"/>
    </row>
    <row r="20" spans="2:14" ht="23.25" customHeight="1">
      <c r="B20" s="45"/>
      <c r="C20" s="45"/>
      <c r="D20" s="45"/>
      <c r="E20" s="45"/>
      <c r="F20" s="45"/>
      <c r="G20" s="45"/>
      <c r="H20" s="45"/>
      <c r="I20" s="45"/>
      <c r="J20" s="45"/>
      <c r="K20" s="45"/>
      <c r="L20" s="45"/>
      <c r="M20" s="45"/>
      <c r="N20" s="45"/>
    </row>
    <row r="21" spans="2:14" ht="23.25" customHeight="1">
      <c r="B21" s="45"/>
      <c r="C21" s="45"/>
      <c r="D21" s="45"/>
      <c r="E21" s="45"/>
      <c r="F21" s="45"/>
      <c r="G21" s="45"/>
      <c r="H21" s="45"/>
      <c r="I21" s="45"/>
      <c r="J21" s="45"/>
      <c r="K21" s="45"/>
      <c r="L21" s="45"/>
      <c r="M21" s="45"/>
      <c r="N21" s="45"/>
    </row>
    <row r="22" spans="2:14" ht="23.25" customHeight="1">
      <c r="B22" s="45"/>
      <c r="C22" s="45"/>
      <c r="D22" s="45"/>
      <c r="E22" s="45"/>
      <c r="F22" s="45"/>
      <c r="G22" s="45"/>
      <c r="H22" s="45"/>
      <c r="I22" s="45"/>
      <c r="J22" s="45"/>
      <c r="K22" s="45"/>
      <c r="L22" s="45"/>
      <c r="M22" s="45"/>
      <c r="N22" s="45"/>
    </row>
    <row r="23" spans="2:14" ht="23.25" customHeight="1">
      <c r="B23" s="45"/>
      <c r="C23" s="45"/>
      <c r="D23" s="45"/>
      <c r="E23" s="45"/>
      <c r="F23" s="45"/>
      <c r="G23" s="45"/>
      <c r="H23" s="45"/>
      <c r="I23" s="45"/>
      <c r="J23" s="45"/>
      <c r="K23" s="45"/>
      <c r="L23" s="45"/>
      <c r="M23" s="45"/>
      <c r="N23" s="45"/>
    </row>
    <row r="24" spans="2:14" ht="23.25" customHeight="1">
      <c r="B24" s="45"/>
      <c r="C24" s="45"/>
      <c r="D24" s="45"/>
      <c r="E24" s="45"/>
      <c r="F24" s="45"/>
      <c r="G24" s="45"/>
      <c r="H24" s="45"/>
      <c r="I24" s="45"/>
      <c r="J24" s="45"/>
      <c r="K24" s="45"/>
      <c r="L24" s="45"/>
      <c r="M24" s="45"/>
      <c r="N24" s="45"/>
    </row>
    <row r="25" spans="2:14" ht="23.25" customHeight="1">
      <c r="B25" s="45"/>
      <c r="C25" s="45"/>
      <c r="D25" s="45"/>
      <c r="E25" s="45"/>
      <c r="F25" s="45"/>
      <c r="G25" s="45"/>
      <c r="H25" s="45"/>
      <c r="I25" s="45"/>
      <c r="J25" s="45"/>
      <c r="K25" s="45"/>
      <c r="L25" s="45"/>
      <c r="M25" s="45"/>
      <c r="N25" s="45"/>
    </row>
    <row r="26" spans="2:14" ht="23.25" customHeight="1">
      <c r="B26" s="45"/>
      <c r="C26" s="45"/>
      <c r="D26" s="45"/>
      <c r="E26" s="45"/>
      <c r="F26" s="45"/>
      <c r="G26" s="45"/>
      <c r="H26" s="45"/>
      <c r="I26" s="45"/>
      <c r="J26" s="45"/>
      <c r="K26" s="45"/>
      <c r="L26" s="45"/>
      <c r="M26" s="45"/>
      <c r="N26" s="45"/>
    </row>
    <row r="27" spans="2:14" ht="23.25" customHeight="1">
      <c r="B27" s="45"/>
      <c r="C27" s="45"/>
      <c r="D27" s="45"/>
      <c r="E27" s="45"/>
      <c r="F27" s="45"/>
      <c r="G27" s="45"/>
      <c r="H27" s="45"/>
      <c r="I27" s="45"/>
      <c r="J27" s="45"/>
      <c r="K27" s="45"/>
      <c r="L27" s="45"/>
      <c r="M27" s="45"/>
      <c r="N27" s="45"/>
    </row>
    <row r="28" spans="2:14">
      <c r="B28" s="45"/>
      <c r="C28" s="45"/>
      <c r="D28" s="45"/>
      <c r="E28" s="45"/>
      <c r="F28" s="45"/>
      <c r="G28" s="45"/>
      <c r="H28" s="45"/>
      <c r="I28" s="45"/>
      <c r="J28" s="45"/>
      <c r="K28" s="45"/>
      <c r="L28" s="45"/>
      <c r="M28" s="45"/>
      <c r="N28" s="45"/>
    </row>
  </sheetData>
  <mergeCells count="1">
    <mergeCell ref="B2:N28"/>
  </mergeCells>
  <pageMargins left="0" right="0" top="0" bottom="0" header="0" footer="0"/>
  <pageSetup paperSize="9" scale="86"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Çalışma Sayfaları</vt:lpstr>
      </vt:variant>
      <vt:variant>
        <vt:i4>75</vt:i4>
      </vt:variant>
      <vt:variant>
        <vt:lpstr>Adlandırılmış Aralıklar</vt:lpstr>
      </vt:variant>
      <vt:variant>
        <vt:i4>73</vt:i4>
      </vt:variant>
    </vt:vector>
  </HeadingPairs>
  <TitlesOfParts>
    <vt:vector size="148" baseType="lpstr">
      <vt:lpstr>Soru Listesi</vt:lpstr>
      <vt:lpstr>Veriler</vt:lpstr>
      <vt:lpstr>1</vt:lpstr>
      <vt:lpstr>2</vt:lpstr>
      <vt:lpstr>3</vt:lpstr>
      <vt:lpstr>4</vt:lpstr>
      <vt:lpstr>5</vt:lpstr>
      <vt:lpstr>6</vt:lpstr>
      <vt:lpstr>7</vt:lpstr>
      <vt:lpstr>8</vt:lpstr>
      <vt:lpstr>9</vt:lpstr>
      <vt:lpstr>10</vt:lpstr>
      <vt:lpstr>11</vt:lpstr>
      <vt:lpstr>12</vt:lpstr>
      <vt:lpstr>13</vt:lpstr>
      <vt:lpstr>14</vt:lpstr>
      <vt:lpstr>A-0</vt:lpstr>
      <vt:lpstr>A-1</vt:lpstr>
      <vt:lpstr>A-2</vt:lpstr>
      <vt:lpstr>B-0</vt:lpstr>
      <vt:lpstr>B-1</vt:lpstr>
      <vt:lpstr>B-2</vt:lpstr>
      <vt:lpstr>C-0</vt:lpstr>
      <vt:lpstr>C-1</vt:lpstr>
      <vt:lpstr>C-2</vt:lpstr>
      <vt:lpstr>D-0</vt:lpstr>
      <vt:lpstr>D-1</vt:lpstr>
      <vt:lpstr>D-2</vt:lpstr>
      <vt:lpstr>D-3</vt:lpstr>
      <vt:lpstr>E-0</vt:lpstr>
      <vt:lpstr>E-1</vt:lpstr>
      <vt:lpstr>E-2</vt:lpstr>
      <vt:lpstr>F-0</vt:lpstr>
      <vt:lpstr>F-1</vt:lpstr>
      <vt:lpstr>F-2</vt:lpstr>
      <vt:lpstr>G-0</vt:lpstr>
      <vt:lpstr>G-1</vt:lpstr>
      <vt:lpstr>G-2</vt:lpstr>
      <vt:lpstr>H-0</vt:lpstr>
      <vt:lpstr>H-1</vt:lpstr>
      <vt:lpstr>H-2</vt:lpstr>
      <vt:lpstr>H-3</vt:lpstr>
      <vt:lpstr>I-0</vt:lpstr>
      <vt:lpstr>I-1</vt:lpstr>
      <vt:lpstr>I-2</vt:lpstr>
      <vt:lpstr>J-0</vt:lpstr>
      <vt:lpstr>J-1</vt:lpstr>
      <vt:lpstr>J-2</vt:lpstr>
      <vt:lpstr>K-0</vt:lpstr>
      <vt:lpstr>K-1</vt:lpstr>
      <vt:lpstr>K-2</vt:lpstr>
      <vt:lpstr>L-0</vt:lpstr>
      <vt:lpstr>L-1</vt:lpstr>
      <vt:lpstr>L-2</vt:lpstr>
      <vt:lpstr>M-0</vt:lpstr>
      <vt:lpstr>M-1</vt:lpstr>
      <vt:lpstr>M-2</vt:lpstr>
      <vt:lpstr>M-3</vt:lpstr>
      <vt:lpstr>N-0</vt:lpstr>
      <vt:lpstr>N-1</vt:lpstr>
      <vt:lpstr>N-2</vt:lpstr>
      <vt:lpstr>O-0</vt:lpstr>
      <vt:lpstr>O-1</vt:lpstr>
      <vt:lpstr>O-2</vt:lpstr>
      <vt:lpstr>P-0</vt:lpstr>
      <vt:lpstr>P-1</vt:lpstr>
      <vt:lpstr>P-2</vt:lpstr>
      <vt:lpstr>P-3</vt:lpstr>
      <vt:lpstr>R-0</vt:lpstr>
      <vt:lpstr>R-1</vt:lpstr>
      <vt:lpstr>R-2</vt:lpstr>
      <vt:lpstr>S-0</vt:lpstr>
      <vt:lpstr>S-1</vt:lpstr>
      <vt:lpstr>S-2</vt:lpstr>
      <vt:lpstr>Final</vt:lpstr>
      <vt:lpstr>'1'!Yazdırma_Alanı</vt:lpstr>
      <vt:lpstr>'10'!Yazdırma_Alanı</vt:lpstr>
      <vt:lpstr>'11'!Yazdırma_Alanı</vt:lpstr>
      <vt:lpstr>'12'!Yazdırma_Alanı</vt:lpstr>
      <vt:lpstr>'13'!Yazdırma_Alanı</vt:lpstr>
      <vt:lpstr>'14'!Yazdırma_Alanı</vt:lpstr>
      <vt:lpstr>'2'!Yazdırma_Alanı</vt:lpstr>
      <vt:lpstr>'3'!Yazdırma_Alanı</vt:lpstr>
      <vt:lpstr>'4'!Yazdırma_Alanı</vt:lpstr>
      <vt:lpstr>'5'!Yazdırma_Alanı</vt:lpstr>
      <vt:lpstr>'6'!Yazdırma_Alanı</vt:lpstr>
      <vt:lpstr>'7'!Yazdırma_Alanı</vt:lpstr>
      <vt:lpstr>'8'!Yazdırma_Alanı</vt:lpstr>
      <vt:lpstr>'9'!Yazdırma_Alanı</vt:lpstr>
      <vt:lpstr>'A-0'!Yazdırma_Alanı</vt:lpstr>
      <vt:lpstr>'A-1'!Yazdırma_Alanı</vt:lpstr>
      <vt:lpstr>'A-2'!Yazdırma_Alanı</vt:lpstr>
      <vt:lpstr>'B-0'!Yazdırma_Alanı</vt:lpstr>
      <vt:lpstr>'B-1'!Yazdırma_Alanı</vt:lpstr>
      <vt:lpstr>'B-2'!Yazdırma_Alanı</vt:lpstr>
      <vt:lpstr>'C-0'!Yazdırma_Alanı</vt:lpstr>
      <vt:lpstr>'C-1'!Yazdırma_Alanı</vt:lpstr>
      <vt:lpstr>'C-2'!Yazdırma_Alanı</vt:lpstr>
      <vt:lpstr>'D-0'!Yazdırma_Alanı</vt:lpstr>
      <vt:lpstr>'D-1'!Yazdırma_Alanı</vt:lpstr>
      <vt:lpstr>'D-2'!Yazdırma_Alanı</vt:lpstr>
      <vt:lpstr>'D-3'!Yazdırma_Alanı</vt:lpstr>
      <vt:lpstr>'E-0'!Yazdırma_Alanı</vt:lpstr>
      <vt:lpstr>'E-1'!Yazdırma_Alanı</vt:lpstr>
      <vt:lpstr>'E-2'!Yazdırma_Alanı</vt:lpstr>
      <vt:lpstr>'F-0'!Yazdırma_Alanı</vt:lpstr>
      <vt:lpstr>'F-1'!Yazdırma_Alanı</vt:lpstr>
      <vt:lpstr>'F-2'!Yazdırma_Alanı</vt:lpstr>
      <vt:lpstr>Final!Yazdırma_Alanı</vt:lpstr>
      <vt:lpstr>'G-0'!Yazdırma_Alanı</vt:lpstr>
      <vt:lpstr>'G-1'!Yazdırma_Alanı</vt:lpstr>
      <vt:lpstr>'G-2'!Yazdırma_Alanı</vt:lpstr>
      <vt:lpstr>'H-0'!Yazdırma_Alanı</vt:lpstr>
      <vt:lpstr>'H-1'!Yazdırma_Alanı</vt:lpstr>
      <vt:lpstr>'H-2'!Yazdırma_Alanı</vt:lpstr>
      <vt:lpstr>'H-3'!Yazdırma_Alanı</vt:lpstr>
      <vt:lpstr>'I-0'!Yazdırma_Alanı</vt:lpstr>
      <vt:lpstr>'I-1'!Yazdırma_Alanı</vt:lpstr>
      <vt:lpstr>'I-2'!Yazdırma_Alanı</vt:lpstr>
      <vt:lpstr>'J-0'!Yazdırma_Alanı</vt:lpstr>
      <vt:lpstr>'J-1'!Yazdırma_Alanı</vt:lpstr>
      <vt:lpstr>'J-2'!Yazdırma_Alanı</vt:lpstr>
      <vt:lpstr>'K-0'!Yazdırma_Alanı</vt:lpstr>
      <vt:lpstr>'K-1'!Yazdırma_Alanı</vt:lpstr>
      <vt:lpstr>'K-2'!Yazdırma_Alanı</vt:lpstr>
      <vt:lpstr>'L-0'!Yazdırma_Alanı</vt:lpstr>
      <vt:lpstr>'L-1'!Yazdırma_Alanı</vt:lpstr>
      <vt:lpstr>'L-2'!Yazdırma_Alanı</vt:lpstr>
      <vt:lpstr>'M-0'!Yazdırma_Alanı</vt:lpstr>
      <vt:lpstr>'M-1'!Yazdırma_Alanı</vt:lpstr>
      <vt:lpstr>'M-2'!Yazdırma_Alanı</vt:lpstr>
      <vt:lpstr>'M-3'!Yazdırma_Alanı</vt:lpstr>
      <vt:lpstr>'N-0'!Yazdırma_Alanı</vt:lpstr>
      <vt:lpstr>'N-1'!Yazdırma_Alanı</vt:lpstr>
      <vt:lpstr>'N-2'!Yazdırma_Alanı</vt:lpstr>
      <vt:lpstr>'O-0'!Yazdırma_Alanı</vt:lpstr>
      <vt:lpstr>'O-1'!Yazdırma_Alanı</vt:lpstr>
      <vt:lpstr>'O-2'!Yazdırma_Alanı</vt:lpstr>
      <vt:lpstr>'P-0'!Yazdırma_Alanı</vt:lpstr>
      <vt:lpstr>'P-1'!Yazdırma_Alanı</vt:lpstr>
      <vt:lpstr>'P-2'!Yazdırma_Alanı</vt:lpstr>
      <vt:lpstr>'P-3'!Yazdırma_Alanı</vt:lpstr>
      <vt:lpstr>'R-0'!Yazdırma_Alanı</vt:lpstr>
      <vt:lpstr>'R-1'!Yazdırma_Alanı</vt:lpstr>
      <vt:lpstr>'R-2'!Yazdırma_Alanı</vt:lpstr>
      <vt:lpstr>'S-0'!Yazdırma_Alanı</vt:lpstr>
      <vt:lpstr>'S-1'!Yazdırma_Alanı</vt:lpstr>
      <vt:lpstr>'S-2'!Yazdırma_Alanı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gozde.cetiner</dc:creator>
  <cp:lastModifiedBy>gembapartner kaizen management</cp:lastModifiedBy>
  <cp:lastPrinted>2025-06-25T19:20:37Z</cp:lastPrinted>
  <dcterms:created xsi:type="dcterms:W3CDTF">2025-06-02T10:53:35Z</dcterms:created>
  <dcterms:modified xsi:type="dcterms:W3CDTF">2025-06-25T20:24:35Z</dcterms:modified>
</cp:coreProperties>
</file>