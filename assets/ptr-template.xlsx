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hidePivotFieldList="1"/>
  <mc:AlternateContent xmlns:mc="http://schemas.openxmlformats.org/markup-compatibility/2006">
    <mc:Choice Requires="x15">
      <x15ac:absPath xmlns:x15ac="http://schemas.microsoft.com/office/spreadsheetml/2010/11/ac" url="/Users/atakanzehir/Gemba Partner Mühendislik ve Yazılım A.Ş/Gemba Digital/TOOLS/Proje takip/"/>
    </mc:Choice>
  </mc:AlternateContent>
  <xr:revisionPtr revIDLastSave="0" documentId="8_{932AA057-CE02-E848-A0BE-41093CB0B316}" xr6:coauthVersionLast="47" xr6:coauthVersionMax="47" xr10:uidLastSave="{00000000-0000-0000-0000-000000000000}"/>
  <bookViews>
    <workbookView xWindow="0" yWindow="760" windowWidth="30240" windowHeight="18880" xr2:uid="{00000000-000D-0000-FFFF-FFFF00000000}"/>
  </bookViews>
  <sheets>
    <sheet name="Proje Raporu" sheetId="1" r:id="rId1"/>
    <sheet name="DashBoard" sheetId="4" r:id="rId2"/>
    <sheet name="Pivot" sheetId="3" r:id="rId3"/>
    <sheet name="Bilgiler" sheetId="5" r:id="rId4"/>
  </sheets>
  <calcPr calcId="191029"/>
  <pivotCaches>
    <pivotCache cacheId="5" r:id="rId5"/>
    <pivotCache cacheId="1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3" l="1"/>
  <c r="F16" i="3" a="1"/>
  <c r="F16" i="3" s="1"/>
  <c r="K15" i="3"/>
  <c r="F15" i="3" a="1"/>
  <c r="F15" i="3" s="1"/>
  <c r="K14" i="3"/>
  <c r="F14" i="3" a="1"/>
  <c r="F14" i="3" s="1"/>
  <c r="K13" i="3"/>
  <c r="F13" i="3" a="1"/>
  <c r="F13" i="3" s="1"/>
  <c r="K12" i="3"/>
  <c r="F12" i="3" a="1"/>
  <c r="F12" i="3" s="1"/>
  <c r="K11" i="3"/>
  <c r="F11" i="3" a="1"/>
  <c r="F11" i="3" s="1"/>
  <c r="K10" i="3"/>
  <c r="F10" i="3" a="1"/>
  <c r="F10" i="3" s="1"/>
  <c r="K9" i="3"/>
  <c r="F9" i="3" a="1"/>
  <c r="F9" i="3" s="1"/>
  <c r="K8" i="3"/>
  <c r="F8" i="3" a="1"/>
  <c r="F8" i="3"/>
  <c r="K7" i="3"/>
  <c r="F7" i="3" a="1"/>
  <c r="F7" i="3" s="1"/>
  <c r="K6" i="3"/>
  <c r="F6" i="3" a="1"/>
  <c r="F6" i="3"/>
  <c r="K5" i="3"/>
  <c r="F5" i="3" a="1"/>
  <c r="F5" i="3" s="1"/>
  <c r="K4" i="3"/>
  <c r="M7" i="1" s="1"/>
  <c r="F4" i="3" a="1"/>
  <c r="F4" i="3" s="1"/>
  <c r="L7" i="1" s="1"/>
  <c r="K3" i="3"/>
  <c r="F3" i="3" a="1"/>
  <c r="F3" i="3" s="1"/>
  <c r="U10" i="4"/>
  <c r="U8" i="4"/>
  <c r="U5" i="4"/>
  <c r="U3" i="4"/>
  <c r="U1" i="4"/>
  <c r="Q7" i="1"/>
  <c r="P7" i="1"/>
  <c r="O7" i="1"/>
  <c r="N7" i="1"/>
  <c r="K7" i="1"/>
  <c r="J7" i="1"/>
  <c r="I7" i="1"/>
  <c r="H6" i="1"/>
  <c r="L6" i="1" s="1"/>
  <c r="H5" i="1"/>
  <c r="L5" i="1" s="1"/>
  <c r="H4" i="1"/>
  <c r="L4" i="1" s="1"/>
  <c r="H3" i="1"/>
  <c r="A1" i="1"/>
  <c r="L3" i="1" l="1"/>
  <c r="K3" i="1"/>
  <c r="K4" i="1"/>
  <c r="K5" i="1"/>
  <c r="K6" i="1"/>
  <c r="M3" i="1"/>
  <c r="M4" i="1"/>
  <c r="M5" i="1"/>
  <c r="M6" i="1"/>
  <c r="N3" i="1"/>
  <c r="N4" i="1"/>
  <c r="N5" i="1"/>
  <c r="N6" i="1"/>
  <c r="O3" i="1"/>
  <c r="O4" i="1"/>
  <c r="O6" i="1"/>
  <c r="P3" i="1"/>
  <c r="P4" i="1"/>
  <c r="P5" i="1"/>
  <c r="P6" i="1"/>
  <c r="Q3" i="1"/>
  <c r="Q4" i="1"/>
  <c r="Q5" i="1"/>
  <c r="Q6" i="1"/>
  <c r="O5" i="1"/>
  <c r="I3" i="1"/>
  <c r="I4" i="1"/>
  <c r="I5" i="1"/>
  <c r="I6" i="1"/>
  <c r="J3" i="1"/>
  <c r="J4" i="1"/>
  <c r="J5" i="1"/>
  <c r="J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<sst xmlns="http://schemas.openxmlformats.org/spreadsheetml/2006/main" count="1222" uniqueCount="306">
  <si>
    <t>YIL</t>
  </si>
  <si>
    <t>DEVAM EDİYOR</t>
  </si>
  <si>
    <t>AÇIK</t>
  </si>
  <si>
    <t>KAPALI</t>
  </si>
  <si>
    <t>PERFORMANS</t>
  </si>
  <si>
    <t>TERMİN UYUM</t>
  </si>
  <si>
    <t>KAİZEN KAZANCI</t>
  </si>
  <si>
    <t>TL</t>
  </si>
  <si>
    <t>$</t>
  </si>
  <si>
    <t>€</t>
  </si>
  <si>
    <t>Eş Değer Ürün</t>
  </si>
  <si>
    <t>TOPLAM</t>
  </si>
  <si>
    <t>Ziyaret Haftası</t>
  </si>
  <si>
    <t>Çalışma Tarihi</t>
  </si>
  <si>
    <t>Faaliyet Konusu</t>
  </si>
  <si>
    <t>İyileştirme Konusu</t>
  </si>
  <si>
    <t>Yapılan Çalışmalar / Alınan Kararlar</t>
  </si>
  <si>
    <t>Çıktı</t>
  </si>
  <si>
    <t>Sorumlu</t>
  </si>
  <si>
    <t>Takip</t>
  </si>
  <si>
    <t>Termin</t>
  </si>
  <si>
    <t>Gerçekleşme Tarihi</t>
  </si>
  <si>
    <t>Termine Uyum</t>
  </si>
  <si>
    <t>Notlar</t>
  </si>
  <si>
    <t>Kazanç Miktarı</t>
  </si>
  <si>
    <t>Kazanç Birimi</t>
  </si>
  <si>
    <t>Kaizen Kazancı</t>
  </si>
  <si>
    <t>Sene</t>
  </si>
  <si>
    <t>Sıra No</t>
  </si>
  <si>
    <t>Eslestirme</t>
  </si>
  <si>
    <t>KALİTE</t>
  </si>
  <si>
    <t>Ersan Sezgin</t>
  </si>
  <si>
    <t>Açık</t>
  </si>
  <si>
    <t>ZAMANINDA</t>
  </si>
  <si>
    <t>Sezayi Parlakkılıç</t>
  </si>
  <si>
    <t>Emre Soylu</t>
  </si>
  <si>
    <t>A3</t>
  </si>
  <si>
    <t>ZAMAN</t>
  </si>
  <si>
    <t>Emine Doğru</t>
  </si>
  <si>
    <t>ÜRETKENLİK</t>
  </si>
  <si>
    <t>SAHA YÖNETİMİ</t>
  </si>
  <si>
    <t>GECİKME</t>
  </si>
  <si>
    <t>KAZA RİSKİ</t>
  </si>
  <si>
    <t>Pınar Yılmaz</t>
  </si>
  <si>
    <t>VERİMLİLİK</t>
  </si>
  <si>
    <t>Gamze Öyekcin</t>
  </si>
  <si>
    <t>Kemal Doğan</t>
  </si>
  <si>
    <t>Kapalı</t>
  </si>
  <si>
    <t>Gözde Tohumci</t>
  </si>
  <si>
    <t>YETENEK</t>
  </si>
  <si>
    <t>Sanem Dokumacı</t>
  </si>
  <si>
    <t>Barış Avcı</t>
  </si>
  <si>
    <t>A3 EĞİTİMİNE KATILAN ARKADAŞLAR KENDİ ALANLARINDAN KİŞİ BAŞI EN AZ BİR ADET PROJE KONUSU BELİRLEYECEK</t>
  </si>
  <si>
    <t>202625A3</t>
  </si>
  <si>
    <t>OPERATÖR MÜDAHALESİNE UYGUN DURUŞLAR İÇİN ARIZA AKIŞ DİAGAMI HAZIRLANACAK</t>
  </si>
  <si>
    <t>Devam Ediyor</t>
  </si>
  <si>
    <t>ARIZA MÜDAHELE İÇİN TEK NOKTA DERSİ ŞEKLİNDE EĞİTİM DÖKÜMANLARI HAZIRLANACAK</t>
  </si>
  <si>
    <t>5S</t>
  </si>
  <si>
    <t>26. HAFTAYA KAYAR HATTINDA 5s FAALİYETİ PLANLANACAK</t>
  </si>
  <si>
    <t>2026255S</t>
  </si>
  <si>
    <t>SAFETY PATROL DEVRİYESİ YAPILDI</t>
  </si>
  <si>
    <t>202625SAHA YÖNETİMİ</t>
  </si>
  <si>
    <t>EĞİTİM</t>
  </si>
  <si>
    <t>A3 EĞİTİMİ YAPILDI</t>
  </si>
  <si>
    <t>202625EĞİTİM</t>
  </si>
  <si>
    <t>SMED</t>
  </si>
  <si>
    <t>202624SMED</t>
  </si>
  <si>
    <t>KAİZEN EĞİTİMLERİ YAPILDI</t>
  </si>
  <si>
    <t>SAFETY LİDER UYGULAMASI START VERİLECEK.</t>
  </si>
  <si>
    <t>202623SAHA YÖNETİMİ</t>
  </si>
  <si>
    <t>OPERATÖR VE SAHA LİDERLERİNE KAİZEN EĞİTİMİ PLANLANACAK</t>
  </si>
  <si>
    <t>202623EĞİTİM</t>
  </si>
  <si>
    <t>BEYAZ YAKA A3 EĞİTİMİ PLANLANACAK</t>
  </si>
  <si>
    <t>PNSZ 7 SMED ANALİZİ YAPILDI, KARŞI ÖNLEMLER DANDORİ FORMATINA İŞLENECEK</t>
  </si>
  <si>
    <t>202623SMED</t>
  </si>
  <si>
    <t>ASAKAİ PANOSU BAŞLIK SAÇI PANOYA MONTE EDİLECEK</t>
  </si>
  <si>
    <t>AKSİYONLAR İZLENDİ</t>
  </si>
  <si>
    <t>202621SAHA YÖNETİMİ</t>
  </si>
  <si>
    <t>ÇEVRE</t>
  </si>
  <si>
    <t>MAZSAN LAYOUT ÜZERİNDEN BAL PETEĞİ HÜCRE HARİTASI ÇIKARILACAK</t>
  </si>
  <si>
    <t>202620SAHA YÖNETİMİ</t>
  </si>
  <si>
    <t>BAL PETEĞİ HÜCRE HARİTASINA SORUMLU PERSONEL ATAMASI YAPILACAK</t>
  </si>
  <si>
    <t>BSH TM 6970 FREZE İZ FRZ 12 FİKSTÜR TABLASI KAMA 13.90 KANAL GENİŞLİĞİ 14 0,1 BOŞLUK DÜZELTİLECEK.</t>
  </si>
  <si>
    <t>202620KALİTE</t>
  </si>
  <si>
    <t>BSH TM 6970 FREZE İZ OPERATÖR KONTROL TALİMAT REVİZE EDİLECEK</t>
  </si>
  <si>
    <t>BSH TM 6970 FREZE İZ KKP REVİZE EDİLECEK</t>
  </si>
  <si>
    <t>BSH TM 6970 FREZE İZ SON KONTROL STANDARTI REVİZE EDİLECEK</t>
  </si>
  <si>
    <t>BSH TM 6970 FREZE İZ DİĞER FREZELERİN KAMA KANAL ÖLÇÜLERİNİN KONTROLÜ VE GEREKİYORSA REVİZYON YAPILMASI</t>
  </si>
  <si>
    <t>OEE</t>
  </si>
  <si>
    <t>ÜRETİM GÜNLÜK ÜRETİM RAKAMLARINI PLANLAMAYLA PAYLAŞACAK</t>
  </si>
  <si>
    <t>202618OEE</t>
  </si>
  <si>
    <t>GÜN/VARDİYA BAZLI ÜRETİM PLANI AÇILACAK</t>
  </si>
  <si>
    <t>ÖNCE ÇOK KOŞAN ÜRÜNLERDEN BAŞLAYARAK CT SÜRELERİ PLANLAMAYLA PAYLAŞILACAK</t>
  </si>
  <si>
    <t>PFUS PERFORMANS TAKİBİ BAŞLATILACAK (ASAKAİ)</t>
  </si>
  <si>
    <t>TCNC DURUŞ SONRASI ISITMA PROGRAMI TASARIMI</t>
  </si>
  <si>
    <t>202618KALİTE</t>
  </si>
  <si>
    <t>OTOMATİK OFSET TCNC</t>
  </si>
  <si>
    <t>TEZGAH BAŞINDAN AYRILMALARDA NOMİNALE ALINMA</t>
  </si>
  <si>
    <t>STANDART İŞ</t>
  </si>
  <si>
    <t>TCNC İŞ STD. OLUŞTURMA</t>
  </si>
  <si>
    <t>202618STANDART İŞ</t>
  </si>
  <si>
    <t>TCNC ZAMAN ETÜDÜ</t>
  </si>
  <si>
    <t>FARKLI MODEL TCNC LERDE MİN. MAX. OVALLİK ÇALIŞMASI</t>
  </si>
  <si>
    <t>HAVALI GUAGE TASARIMI</t>
  </si>
  <si>
    <t>202617KALİTE</t>
  </si>
  <si>
    <t>Doğukan Topçu</t>
  </si>
  <si>
    <t>BLİSTER PNSZ ÜRETİM HATTI DENEMESİ</t>
  </si>
  <si>
    <t>FREZE BOR YAĞ STD. KONTROLÜ</t>
  </si>
  <si>
    <t>FRZ, TCNCBOR YAĞ ORANLARI KONTROLÜ</t>
  </si>
  <si>
    <t>ÜRETİM PERSONELİ KULLANIM ÖNCESİ KASA İÇİNİ KONTROL EDECEK VE KİRLİLİK ORANLARI HAKKINDA VARDİYA AMİRİNE BİLGİ VERECEK.</t>
  </si>
  <si>
    <t>2026175S</t>
  </si>
  <si>
    <t>2026165S</t>
  </si>
  <si>
    <t>ÇİZİK HATASI İÇİN PPS FORMATINDA PROBLEM ÇÖZÜM METODU ÇALIŞILACAK VE ÖNÜMÜZDEKİ HAFTA ASAKAİ DE SUNUM YAPILACAK 20.04.2026</t>
  </si>
  <si>
    <t>202616KALİTE</t>
  </si>
  <si>
    <t>202616SMED</t>
  </si>
  <si>
    <t>KUMLAMA TEZGAHI BASINÇ MANOMETRESİ TAKILACAK</t>
  </si>
  <si>
    <t>Gülçin Başçiftci</t>
  </si>
  <si>
    <t>202615KALİTE</t>
  </si>
  <si>
    <t>PAKETLEME PROSESİ VİDEO ÇEKİMİ VE ANALİZİ</t>
  </si>
  <si>
    <t>Derya Gümüşoğlu</t>
  </si>
  <si>
    <t>202615SMED</t>
  </si>
  <si>
    <t>RETMES SİSTEMİNDE ÇALIŞMA SÜRESİNİN HATALI OLMASI SEBEBİYLE PLANLANAN GERÇEKLEŞEN ORANLARININ HATALI HESAPLANMASI</t>
  </si>
  <si>
    <t>202615SAHA YÖNETİMİ</t>
  </si>
  <si>
    <t>SETUP ÖNCELİKLİ 5466 REFERANSI OLMAK ÜZERE BEYAZ EŞYA HATTINDA SETUP ÇALIŞMALARINDA VİDEO ÇEKİMLERİ YAPILACAK</t>
  </si>
  <si>
    <t>SAATLİK ÜRETM PANOLARI VE ASAKAİ GRAFİKLERİ TÜM BİRİMLERDE DOLDURULMAYA BAŞLANACAK VE TAKİBİ YAPILACAK</t>
  </si>
  <si>
    <t>ASAKAİ UYGULAMA START VERİLMESİ</t>
  </si>
  <si>
    <t>SON KONTROL KALİTE GRAFİKLERİ PAKETLENEN MİKTAR VE BULUNAN HATA SAYSI ORANI ALINARAK GRAFİK İŞARETLEMESİ YAPILACAK</t>
  </si>
  <si>
    <t>202614KALİTE</t>
  </si>
  <si>
    <t>ASAKAİ SUNUM İÇİN 2 MİKROFONLU HOPERLÖR ALINACAK</t>
  </si>
  <si>
    <t>202614SMED</t>
  </si>
  <si>
    <t>06.04.2026 P.TESİ GÜNÜ İLK ASAKAİ DEMO SUNUMUNU YAPACAK ŞEKİLDE TÜM BİRİMLER HAZIRLIKLARINI TAMAMLAYACAK</t>
  </si>
  <si>
    <t>ASAKAİ GRAFİK VE SAATLİK ÜRETİM TAKİP FORMLARI HAZIRLANDI. PROSES TEYİDİ ALINDI VE PROSESLERE DAĞITILDI</t>
  </si>
  <si>
    <t>HAFTA BAZLI KÜMİLATİF TOPLAMDA PLANLANAN GERÇEKLEŞEN ÜRETİM ADETLERİ VE PLANLANAN GERÇEKLEŞEN SEVKİYAT ORANLARINI PLANLAMA GRUBU BİR FORMAT ÜZERİNDE ASSAKAİ ALANINDA SUNUMUMU YAPACAK</t>
  </si>
  <si>
    <t>202613SMED</t>
  </si>
  <si>
    <t>STOK</t>
  </si>
  <si>
    <t>Uğur Yılmaz</t>
  </si>
  <si>
    <t>202612SMED</t>
  </si>
  <si>
    <t>ASAKAİ GRAFİK EĞİTİMİ YAPILDI</t>
  </si>
  <si>
    <t>ASAKAI GRAFİKLERİ HAZIRLANACAK</t>
  </si>
  <si>
    <t>VSM çalışması</t>
  </si>
  <si>
    <t>AKIŞ İYİLEŞTİRME</t>
  </si>
  <si>
    <t>VSM veri analizi yapıldı</t>
  </si>
  <si>
    <t>202610AKIŞ İYİLEŞTİRME</t>
  </si>
  <si>
    <t>VSM beyaz eşya hattı veri takibi</t>
  </si>
  <si>
    <t>Beyaz eşya taşıma süreleri analiz</t>
  </si>
  <si>
    <t>Beyaz eşya son kontrol kalite dataları</t>
  </si>
  <si>
    <t>202610OEE</t>
  </si>
  <si>
    <t>VSM çalışması için malzeme temin edilmesi</t>
  </si>
  <si>
    <t>202610EĞİTİM</t>
  </si>
  <si>
    <t>TPS Teknikleri eğitimi yapıldı</t>
  </si>
  <si>
    <t>TPS Ekip oluşturuldu</t>
  </si>
  <si>
    <t>202610SAHA YÖNETİMİ</t>
  </si>
  <si>
    <t>TPS Eğitim</t>
  </si>
  <si>
    <t>20269EĞİTİM</t>
  </si>
  <si>
    <t>TPS Master plan hazırlama ve sunum</t>
  </si>
  <si>
    <t>TPS Assessment çalışması</t>
  </si>
  <si>
    <t>20268EĞİTİM</t>
  </si>
  <si>
    <t>TPS Assessment çalışması yapıldı.</t>
  </si>
  <si>
    <t>EĞİTİM SAYISI</t>
  </si>
  <si>
    <t>PERSONEL SAYISI</t>
  </si>
  <si>
    <t>EĞİTİM SAATİ</t>
  </si>
  <si>
    <t>TOPLAM AKSİYON SAYISI</t>
  </si>
  <si>
    <t>TOPLAM KAİZEN SAYISI</t>
  </si>
  <si>
    <t>Say Ziyaret Haftası</t>
  </si>
  <si>
    <t>AKSİYON DURUMU</t>
  </si>
  <si>
    <t>Toplam Kaizen Kazancı</t>
  </si>
  <si>
    <t>Toplam Eş Değer Ürün</t>
  </si>
  <si>
    <t>(boş)</t>
  </si>
  <si>
    <t>Performans</t>
  </si>
  <si>
    <t>Termin Performans</t>
  </si>
  <si>
    <t>Aksiyon Sayısı</t>
  </si>
  <si>
    <t>Satır Etiketleri</t>
  </si>
  <si>
    <t>OPEX</t>
  </si>
  <si>
    <t xml:space="preserve">OEE </t>
  </si>
  <si>
    <t xml:space="preserve">Lead Time </t>
  </si>
  <si>
    <t>SORUMLU</t>
  </si>
  <si>
    <t>Genel Toplam</t>
  </si>
  <si>
    <t>FirmaAdi</t>
  </si>
  <si>
    <t>DegerlendirmeNo</t>
  </si>
  <si>
    <t>Opex Puanı</t>
  </si>
  <si>
    <t>Lead Time</t>
  </si>
  <si>
    <t>EgitimSayisi</t>
  </si>
  <si>
    <t>EgitimPersoneli</t>
  </si>
  <si>
    <t>EgitimSaati</t>
  </si>
  <si>
    <t>FaaliyetKonusuText</t>
  </si>
  <si>
    <t>FaaliyetYili</t>
  </si>
  <si>
    <t>FaaliyetHaftasi</t>
  </si>
  <si>
    <t>₺</t>
  </si>
  <si>
    <t>TPM</t>
  </si>
  <si>
    <t>AKIŞ DİAGRAMI</t>
  </si>
  <si>
    <t>202625TPM</t>
  </si>
  <si>
    <t>GÜVENLİK</t>
  </si>
  <si>
    <t>2. İŞ ADIMI İşlem sırasında takım çantası yanında taşınacak</t>
  </si>
  <si>
    <t>PNSZ 07 SMED</t>
  </si>
  <si>
    <t>6. İŞ ADIMI Tekrar kullanılmayacak takım vb ürünlerin temizliği setup bittikten sonra yapılacak</t>
  </si>
  <si>
    <t>7. İŞ ADIMI Kirlilik sebebi basınçlı hava temizlenecek.</t>
  </si>
  <si>
    <t>12. İŞ ADIMI İş standartı oluşturulurken bu işlem eklenmeyecek.</t>
  </si>
  <si>
    <t>13. İŞ ADIMI İş standartı oluşturulurken bu işlem eklenmeyecek.</t>
  </si>
  <si>
    <t>14. İŞ ADIMI Arkadan yükleme yapılan tezgahlarda hava kanalı T ile ikiye ayrılacak ve tezgahın ön ve arka kısmına hava tabancası eklenecek.</t>
  </si>
  <si>
    <t>16. İŞ ADIMI Dayama civataları sökülüp dayama yatakdan çıkartıldıktan sonra hemen yeni dayama takılması için yatak temizligi yapılacak.</t>
  </si>
  <si>
    <t>18. İŞ ADIMI 16. Adımdaki işlem yapılacak.</t>
  </si>
  <si>
    <t>27. İŞ ADIMI Setup başlamadan önce kullanılacak ara kagıtlar tezgahın yanına getirilecek.</t>
  </si>
  <si>
    <t>34, 35, 36, 37. İŞ ADIMI Referans bazlı ara flans tasarımı ve üretimi yapılacak yapılan üretimden sonra ürünlerin temas yüzeyi olmayan kısımlarına referans numarası delık çapı ve boy bilgileri lazer ile işlenecek.</t>
  </si>
  <si>
    <t>39, 40. İŞ ADIMI Taş sökme ve takma eğitimi verilecek.</t>
  </si>
  <si>
    <t>63. İŞ ADIMI Su tavasının menteşeli sisteme geçirilmesi.</t>
  </si>
  <si>
    <t>70. İŞ ADIMI Mevcut sistemin yerine servo sisteme geçilmesi.</t>
  </si>
  <si>
    <t>71. İŞ ADIMI Balans alma eğitimi verilecek.</t>
  </si>
  <si>
    <t>77. İŞ ADIMI Bakım ekibi kontrol saglayacak.</t>
  </si>
  <si>
    <t>82. İŞ ADIMI Paperwork sisteminin telefon,tablet vb elde taşınabilir ekipmanlardan erişim sağlanması.</t>
  </si>
  <si>
    <t>KAİZEN</t>
  </si>
  <si>
    <t>KAİZEN EĞİTİM</t>
  </si>
  <si>
    <t>202624KAİZEN</t>
  </si>
  <si>
    <t>SAFETY</t>
  </si>
  <si>
    <t>GÖRSEL YÖNETİM</t>
  </si>
  <si>
    <t>MOTİVASYON</t>
  </si>
  <si>
    <t>MOTIVASYON</t>
  </si>
  <si>
    <t>ASAKAİ PANO</t>
  </si>
  <si>
    <t>202623GÖRSEL YÖNETİM</t>
  </si>
  <si>
    <t>AKSİYON TAKİP</t>
  </si>
  <si>
    <t>BAL PETEĞİ</t>
  </si>
  <si>
    <t>FRZ 12</t>
  </si>
  <si>
    <t>KONTROL TALİMATI</t>
  </si>
  <si>
    <t>KKP</t>
  </si>
  <si>
    <t>SON KONTROL</t>
  </si>
  <si>
    <t>BSH TM 6970 FREZE İZ TND</t>
  </si>
  <si>
    <t>TND</t>
  </si>
  <si>
    <t>FREZE FİKSTÜR KAMA KANAL ARALIĞI</t>
  </si>
  <si>
    <t>PLANLAMA ÜRETİM VERİ FARKI</t>
  </si>
  <si>
    <t>202618GÖRSEL YÖNETİM</t>
  </si>
  <si>
    <t>ÇAP BÜYÜK HATASI</t>
  </si>
  <si>
    <t>A00154403 NUMARALI REFERANS DA PAS PROBLEMİ İÇİN KALICI KARŞI ÖNLEM ALINANA KADAR SON KONTROL GİRİŞİNDEKİ FKK ALANINDA FİFO TAKİBİ YAPILACAK.</t>
  </si>
  <si>
    <t>FİFO KONTROL</t>
  </si>
  <si>
    <t>A00154403 NUMARALI REFERANS DA PAS PROBLEMİ İÇİNOVALAMA YAGI SONRASI ÜRÜN TAKP</t>
  </si>
  <si>
    <t>OVALAMA YAĞI</t>
  </si>
  <si>
    <t>BLİSTER DENEME</t>
  </si>
  <si>
    <t>FREZE BOR YAĞ</t>
  </si>
  <si>
    <t>YAĞ ORANI KONTROL</t>
  </si>
  <si>
    <t>A00154403 NUMARALI REFERANS DA PAS PROBLEMİ İÇİN SON KONTROL PAS PROBLEMİ OLAN KASALARIN KART BİLGİSİ VE HATA ORANI PROBLEM TAKİP EKİBİYLE PAYLAŞACAK.21,22,,24 NİSAN VERİLERİ PAYLAŞILACAK.</t>
  </si>
  <si>
    <t>VERİ PAYLAŞIMI</t>
  </si>
  <si>
    <t>A00154403 NUMARALI REFERANS DA PAS PROBLEMİ İÇİN TEDARİKÇİDEN GELEN ÜRETİM KASALARININ TEMİZLİK KONTROLU YAPILARAK ÜRETİME VERİLECEK. ( İÇİNDE SU, DÖKÜM TOXU, YABANCI MALZEME VS.) KONTROL STANDARTLARI OLUŞTURULUP İLGİLİ PERSONELE GÖREVLENDİRME YAPILACAK</t>
  </si>
  <si>
    <t>KASA KONTROL</t>
  </si>
  <si>
    <t>PAS PROBLEMİ KASA KONTROL</t>
  </si>
  <si>
    <t>MAZSAN BAL PETEĞİ HÜCRE HARITASI ÇIKARILACAK...KİŞİ BAZLI ALAN ATAMALARI YAPILACAK.</t>
  </si>
  <si>
    <t>SAFETY 5S</t>
  </si>
  <si>
    <t>SAFETY PATROL &amp; 5S DEVRİYE UYGULAMASINDA TESPİT EDİLEN TOPLAMDA 320 İYİLEŞTİRME MADDESİ İÇİN A0 FORMATINDA KESHİKOMİ LİSTESİ OLUŞTURULACAK.( İYİLEŞTİRME TAKİP SAYFASI) PROBLEM KİMİN, KARŞI ÖNLEM NEDİR KİM NEYİ NEZAMANA KADAR ÇÖZECEK BU TAKİP LİSTESİNDEN İLERLEME TAKİP EDİLECEK.</t>
  </si>
  <si>
    <t>SAFETY PATROL</t>
  </si>
  <si>
    <t>PPS ÇİZİK HATASI</t>
  </si>
  <si>
    <t>BUGÜN VİDEOSU ÇEKİLEN SETUP İŞLEMİN PRIVATELY VİDEO ANALİZİ YAPILACAK 14.O4.2026</t>
  </si>
  <si>
    <t>DARBE KAYNAKLI HURDA HATASI OLUŞUNUMUNU ENGELLEMEK ADINA FABRİKA İÇİ OLMASI GEREKEN KUTU MİN MAX SAYI STANDARTLARI OLUŞTURULACAK. VE TAKİP İÇİN METHOT BELİRLENECEK</t>
  </si>
  <si>
    <t>BOŞ KUTU STANDARTI</t>
  </si>
  <si>
    <t>KUMLAMA KALİTE</t>
  </si>
  <si>
    <t>202615TPM</t>
  </si>
  <si>
    <t>ASAKAİ PFUS TAKİP LİSTESİNE KPI A OLUMSUZ ETKİ EDEN TÜM PROBLEMLER EKLENECEK</t>
  </si>
  <si>
    <t>PFUS</t>
  </si>
  <si>
    <t>202615GÖRSEL YÖNETİM</t>
  </si>
  <si>
    <t>PEROSES VE KALİTE GRUBU SORUMLULUĞUNDAKİ TÜM KALİTE KONTROLLERİNİN TEYİT EDİLMESİ</t>
  </si>
  <si>
    <t>ASAKAİ ALANINDA PANOYA PPS PRATICE PROBLEM SOLVING FORMATI TASARLANMASI</t>
  </si>
  <si>
    <t>PPS</t>
  </si>
  <si>
    <t>RETMES HATALI VERİ</t>
  </si>
  <si>
    <t>ASAKAİ</t>
  </si>
  <si>
    <t>202614GÖRSEL YÖNETİM</t>
  </si>
  <si>
    <t>MTTR-MTBF TAKİP KONUSUNDA BAKIM GRUBU İLE ÖRNEK DOKÜMAN PAYLAŞILDI. ASAKAİ DE BU FORMLAR YARDIMIYLE MTTR MTBF GRAFİKLERİ HAZIRLANACAK</t>
  </si>
  <si>
    <t>202614TPM</t>
  </si>
  <si>
    <t>HAFTA İÇİ 5466 REFERAN NUMARASI İÇİN SETUP YAPILAN TÜM ALANLARDAN VİDEO ÇEKİMİ YAPILACAK</t>
  </si>
  <si>
    <t>ASAKAİ DEMO SUNUMU</t>
  </si>
  <si>
    <t>PALANLANA GERÇEKLEŞEN ÜRETİM VE SEVKİYAT TAKİP İ</t>
  </si>
  <si>
    <t>TCNC-22 SMED ÇALIŞMASINDA Kİ AKSİYONLARIN PLANLANARAK KARŞI ÖNLEM FAALİYETLERİNİN BAŞLATILMASI - HEDEF 3454 sn. SETUP SÜRESİNİN 2158 sn DÜŞÜLMESİ %45 İyileştirme</t>
  </si>
  <si>
    <t>SMED ÇALIŞMASI TCNC-22</t>
  </si>
  <si>
    <t>takım sıfırlama (x+z) - X iptal, Z mevcut parça ile yeni parça arasında ki boy farkı hesaplanıp ofset değerine eklenecek</t>
  </si>
  <si>
    <t>TCNC-22 SMED</t>
  </si>
  <si>
    <t>çene ayarı yapmak kumpas almak çene ayarına devam - modüler sert ayak sistemi adaptasyonu gerçekleştirilecek</t>
  </si>
  <si>
    <t>TCNC-22 SMED ÇALIŞMASI</t>
  </si>
  <si>
    <t>VSM</t>
  </si>
  <si>
    <t>HAT1-HAT2 ARASI ARA STOK MİKTARI TAKİP</t>
  </si>
  <si>
    <t>VSM Çalışması 5466</t>
  </si>
  <si>
    <t>202612VSM</t>
  </si>
  <si>
    <t>Günlük saha fiziki stok kontrolü (kaç kere ve nerelere yapılacağı kararı alınacak)</t>
  </si>
  <si>
    <t>VSM 5466</t>
  </si>
  <si>
    <t>Hat c/t22 hat216 Tact time Veri girişinin önemi anlatılacak standart çalışma talimatı OEE takibi</t>
  </si>
  <si>
    <t>Bitmiş ürün stoğu 6 günlük Bağ miktarlarının lot ağırlığı yarıya indirilebilir mi?</t>
  </si>
  <si>
    <t>SMED çalışmalarının başlatılması</t>
  </si>
  <si>
    <t>VSM ÇALIŞMASI 5466</t>
  </si>
  <si>
    <t>202611GÖRSEL YÖNETİM</t>
  </si>
  <si>
    <t>GÜNLÜK MÜŞTERİ SİPARİŞİ PARÇA BRÜT AĞIRLIĞI Tampon stok ham malzeme Güvenlik stoğu</t>
  </si>
  <si>
    <t>VSM İdeal durum 5466</t>
  </si>
  <si>
    <t>Caniastan 36lık ham malzeme geliş tarih ve adetlerine bakılacak</t>
  </si>
  <si>
    <t>VSM çalışması 5466</t>
  </si>
  <si>
    <t>36lık Ham malzemenin geç gelmesi duruma istinaden 2 günlük 10 ton ham malzeme stoklarda stabil tutulacak</t>
  </si>
  <si>
    <t>DT-HAT1 ARASI ARA STOK MİKTARI Stok takip</t>
  </si>
  <si>
    <t>İŞ EMİRLERİNİN GÜNLÜK AÇILMASI kararı</t>
  </si>
  <si>
    <t>Son kontrol tampon stoğu oluşturulacak (min 30000- max 38000) Güvenlik stoğu %50</t>
  </si>
  <si>
    <t>Kardeş takım çağırma dış smed Capto heimer kombinasyonu Transferde</t>
  </si>
  <si>
    <t>202613GÖRSEL YÖNETİM</t>
  </si>
  <si>
    <t>Beyaz eşya hattı VSM çalışması yapılacak</t>
  </si>
  <si>
    <t>202611VSM</t>
  </si>
  <si>
    <t>VSM için saha çalışması yapıldı</t>
  </si>
  <si>
    <t>VSM için Beyaz eşya verileri temize geçilecek</t>
  </si>
  <si>
    <t>Beyaz eşya hattı malzeme taşıma süreleri analiz edilecek</t>
  </si>
  <si>
    <t>Beyaz eşya hattı son kontrol kalite verileri çıkartılacak</t>
  </si>
  <si>
    <t>A0 kağıt, renkli postit kağıtlar, kalem temini</t>
  </si>
  <si>
    <t>TPS takımı kuruldu</t>
  </si>
  <si>
    <t>TPS Giriş eğitimi yapıldı</t>
  </si>
  <si>
    <t>TPS Master plan sunumu yapıldı</t>
  </si>
  <si>
    <t>TPS Asseessment yapıldı rapor sunumu yapıldı</t>
  </si>
  <si>
    <t>Assessment çalışması yapıldı</t>
  </si>
  <si>
    <t xml:space="preserve">Müşteri İsmi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</si>
</sst>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quot;₺&quot;* #,##0_-;\-&quot;₺&quot;* #,##0_-;_-&quot;₺&quot;* &quot;-&quot;??_-;_-@_-"/>
    <numFmt numFmtId="165" formatCode="_-\$* #,##0_-;\-\$* #,##0_-;_-\$* &quot;-&quot;??_-;_-@_-"/>
    <numFmt numFmtId="166" formatCode="_-\€* #,##0_-;\-\€* #,##0_-;_-\€* &quot;-&quot;??_-;_-@_-"/>
    <numFmt numFmtId="167" formatCode="_-* #,##0_-;\-* #,##0_-;_-* &quot;-&quot;??_-;_-@_-"/>
  </numFmts>
  <fonts count="5" x14ac:knownFonts="1">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24"/>
      <color theme="1"/>
      <name val="Calibri"/>
      <family val="2"/>
      <charset val="162"/>
      <scheme val="minor"/>
    </font>
    <font>
      <b/>
      <sz val="11"/>
      <color theme="0"/>
      <name val="Calibri"/>
      <family val="2"/>
      <charset val="162"/>
      <scheme val="minor"/>
    </font>
  </fonts>
  <fills count="13">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tint="-0.14999847407452621"/>
        <bgColor theme="0" tint="-0.14999847407452621"/>
      </patternFill>
    </fill>
    <fill>
      <patternFill patternType="solid">
        <fgColor theme="0" tint="-4.9989318521683403E-2"/>
        <bgColor indexed="64"/>
      </patternFill>
    </fill>
    <fill>
      <patternFill patternType="solid">
        <fgColor theme="4" tint="-0.249977111117893"/>
        <bgColor theme="5"/>
      </patternFill>
    </fill>
    <fill>
      <patternFill patternType="solid">
        <fgColor theme="4" tint="-0.249977111117893"/>
        <bgColor indexed="64"/>
      </patternFill>
    </fill>
    <fill>
      <patternFill patternType="solid">
        <fgColor theme="0" tint="-0.149998474074526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theme="1"/>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8">
    <xf numFmtId="0" fontId="0" fillId="0" borderId="0" xfId="0"/>
    <xf numFmtId="0" fontId="2" fillId="0" borderId="1" xfId="0" applyFont="1" applyBorder="1" applyAlignment="1">
      <alignment horizontal="center" vertical="center"/>
    </xf>
    <xf numFmtId="0" fontId="0" fillId="0" borderId="0" xfId="0" pivotButton="1"/>
    <xf numFmtId="0" fontId="0" fillId="0" borderId="0" xfId="0" applyAlignment="1">
      <alignment horizontal="left"/>
    </xf>
    <xf numFmtId="9" fontId="2" fillId="0" borderId="1" xfId="3" applyFont="1" applyBorder="1" applyAlignment="1">
      <alignment horizontal="center" vertical="center"/>
    </xf>
    <xf numFmtId="9" fontId="0" fillId="0" borderId="1" xfId="3" applyFont="1" applyBorder="1" applyAlignment="1">
      <alignment horizontal="center" vertical="center"/>
    </xf>
    <xf numFmtId="49" fontId="0" fillId="0" borderId="0" xfId="0" applyNumberFormat="1"/>
    <xf numFmtId="0" fontId="0" fillId="0" borderId="0" xfId="0" applyAlignment="1">
      <alignment wrapText="1"/>
    </xf>
    <xf numFmtId="14" fontId="0" fillId="0" borderId="0" xfId="0" applyNumberFormat="1" applyAlignment="1">
      <alignment wrapText="1"/>
    </xf>
    <xf numFmtId="0" fontId="2" fillId="3" borderId="1" xfId="0" applyFont="1" applyFill="1" applyBorder="1" applyAlignment="1">
      <alignment horizontal="center" vertical="center" wrapText="1"/>
    </xf>
    <xf numFmtId="165" fontId="2" fillId="4" borderId="1" xfId="2" applyNumberFormat="1" applyFont="1" applyFill="1" applyBorder="1" applyAlignment="1">
      <alignment horizontal="center" vertical="center" wrapText="1"/>
    </xf>
    <xf numFmtId="166" fontId="2" fillId="4" borderId="1" xfId="2" applyNumberFormat="1"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9" fontId="2" fillId="6" borderId="7" xfId="3" applyFont="1" applyFill="1" applyBorder="1" applyAlignment="1">
      <alignment horizontal="center" vertical="center" wrapText="1"/>
    </xf>
    <xf numFmtId="9" fontId="2" fillId="6" borderId="8" xfId="3" applyFont="1" applyFill="1" applyBorder="1" applyAlignment="1">
      <alignment horizontal="center" vertical="center" wrapText="1"/>
    </xf>
    <xf numFmtId="164" fontId="2" fillId="4" borderId="7" xfId="2" applyNumberFormat="1" applyFont="1" applyFill="1" applyBorder="1" applyAlignment="1">
      <alignment horizontal="center" vertical="center" wrapText="1"/>
    </xf>
    <xf numFmtId="167" fontId="2" fillId="4" borderId="8" xfId="1" applyNumberFormat="1" applyFont="1" applyFill="1" applyBorder="1" applyAlignment="1">
      <alignment vertical="center" wrapText="1"/>
    </xf>
    <xf numFmtId="0" fontId="2" fillId="3" borderId="15"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6" xfId="0" applyFont="1" applyFill="1" applyBorder="1" applyAlignment="1">
      <alignment horizontal="center" vertical="center" wrapText="1"/>
    </xf>
    <xf numFmtId="9" fontId="2" fillId="6" borderId="15" xfId="3" applyFont="1" applyFill="1" applyBorder="1" applyAlignment="1">
      <alignment horizontal="center" vertical="center" wrapText="1"/>
    </xf>
    <xf numFmtId="9" fontId="2" fillId="6" borderId="16" xfId="3" applyFont="1" applyFill="1" applyBorder="1" applyAlignment="1">
      <alignment horizontal="center" vertical="center" wrapText="1"/>
    </xf>
    <xf numFmtId="164" fontId="2" fillId="4" borderId="15" xfId="2" applyNumberFormat="1" applyFont="1" applyFill="1" applyBorder="1" applyAlignment="1">
      <alignment horizontal="center" vertical="center" wrapText="1"/>
    </xf>
    <xf numFmtId="165" fontId="2" fillId="4" borderId="3" xfId="2" applyNumberFormat="1" applyFont="1" applyFill="1" applyBorder="1" applyAlignment="1">
      <alignment horizontal="center" vertical="center" wrapText="1"/>
    </xf>
    <xf numFmtId="166" fontId="2" fillId="4" borderId="3" xfId="2" applyNumberFormat="1" applyFont="1" applyFill="1" applyBorder="1" applyAlignment="1">
      <alignment horizontal="center" vertical="center" wrapText="1"/>
    </xf>
    <xf numFmtId="167" fontId="2" fillId="4" borderId="16" xfId="1" applyNumberFormat="1" applyFont="1" applyFill="1" applyBorder="1" applyAlignment="1">
      <alignment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24" xfId="0" applyFont="1" applyFill="1" applyBorder="1" applyAlignment="1">
      <alignment horizontal="center" vertical="center" wrapText="1"/>
    </xf>
    <xf numFmtId="9" fontId="2" fillId="6" borderId="23" xfId="3" applyFont="1" applyFill="1" applyBorder="1" applyAlignment="1">
      <alignment horizontal="center" vertical="center" wrapText="1"/>
    </xf>
    <xf numFmtId="9" fontId="2" fillId="6" borderId="24" xfId="3" applyFont="1" applyFill="1" applyBorder="1" applyAlignment="1">
      <alignment horizontal="center" vertical="center" wrapText="1"/>
    </xf>
    <xf numFmtId="164" fontId="2" fillId="4" borderId="23" xfId="2" applyNumberFormat="1" applyFont="1" applyFill="1" applyBorder="1" applyAlignment="1">
      <alignment horizontal="center" vertical="center" wrapText="1"/>
    </xf>
    <xf numFmtId="165" fontId="2" fillId="4" borderId="2" xfId="2" applyNumberFormat="1" applyFont="1" applyFill="1" applyBorder="1" applyAlignment="1">
      <alignment horizontal="center" vertical="center" wrapText="1"/>
    </xf>
    <xf numFmtId="166" fontId="2" fillId="4" borderId="2" xfId="2" applyNumberFormat="1" applyFont="1" applyFill="1" applyBorder="1" applyAlignment="1">
      <alignment horizontal="center" vertical="center" wrapText="1"/>
    </xf>
    <xf numFmtId="167" fontId="2" fillId="4" borderId="24" xfId="1" applyNumberFormat="1" applyFont="1" applyFill="1" applyBorder="1" applyAlignment="1">
      <alignment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0" fillId="8" borderId="0" xfId="0" applyFill="1" applyAlignment="1">
      <alignment wrapText="1"/>
    </xf>
    <xf numFmtId="0" fontId="0" fillId="8" borderId="25" xfId="0" applyFill="1" applyBorder="1" applyAlignment="1">
      <alignment wrapText="1"/>
    </xf>
    <xf numFmtId="0" fontId="2" fillId="2" borderId="35" xfId="0" applyFont="1" applyFill="1" applyBorder="1" applyAlignment="1">
      <alignment horizontal="center" vertical="center" wrapText="1"/>
    </xf>
    <xf numFmtId="9" fontId="2" fillId="6" borderId="12" xfId="3" applyFont="1" applyFill="1" applyBorder="1" applyAlignment="1">
      <alignment horizontal="center" vertical="center" wrapText="1"/>
    </xf>
    <xf numFmtId="9" fontId="2" fillId="6" borderId="14" xfId="3" applyFont="1" applyFill="1" applyBorder="1" applyAlignment="1">
      <alignment horizontal="center" vertical="center" wrapText="1"/>
    </xf>
    <xf numFmtId="164" fontId="2" fillId="4" borderId="12" xfId="2" applyNumberFormat="1" applyFont="1" applyFill="1" applyBorder="1" applyAlignment="1">
      <alignment horizontal="center" vertical="center" wrapText="1"/>
    </xf>
    <xf numFmtId="165" fontId="2" fillId="4" borderId="13" xfId="2" applyNumberFormat="1" applyFont="1" applyFill="1" applyBorder="1" applyAlignment="1">
      <alignment horizontal="center" vertical="center" wrapText="1"/>
    </xf>
    <xf numFmtId="166" fontId="2" fillId="4" borderId="13" xfId="2" applyNumberFormat="1" applyFont="1" applyFill="1" applyBorder="1" applyAlignment="1">
      <alignment horizontal="center" vertical="center" wrapText="1"/>
    </xf>
    <xf numFmtId="167" fontId="2" fillId="4" borderId="14" xfId="1" applyNumberFormat="1" applyFont="1" applyFill="1" applyBorder="1" applyAlignment="1">
      <alignment vertical="center" wrapText="1"/>
    </xf>
    <xf numFmtId="0" fontId="4" fillId="10" borderId="1" xfId="0" applyFont="1" applyFill="1" applyBorder="1" applyAlignment="1">
      <alignment wrapText="1"/>
    </xf>
    <xf numFmtId="0" fontId="0" fillId="11" borderId="1" xfId="0" applyFill="1" applyBorder="1" applyAlignment="1">
      <alignment wrapText="1"/>
    </xf>
    <xf numFmtId="0" fontId="3" fillId="9" borderId="30" xfId="0" applyFont="1" applyFill="1" applyBorder="1" applyAlignment="1">
      <alignment horizontal="center" vertical="center" wrapText="1"/>
    </xf>
    <xf numFmtId="0" fontId="3" fillId="9" borderId="31" xfId="0" applyFont="1" applyFill="1" applyBorder="1" applyAlignment="1">
      <alignment horizontal="center" vertical="center" wrapText="1"/>
    </xf>
    <xf numFmtId="0" fontId="3" fillId="9" borderId="32" xfId="0" applyFont="1" applyFill="1" applyBorder="1" applyAlignment="1">
      <alignment horizontal="center" vertical="center" wrapText="1"/>
    </xf>
    <xf numFmtId="0" fontId="3" fillId="9" borderId="33" xfId="0" applyFont="1" applyFill="1" applyBorder="1" applyAlignment="1">
      <alignment horizontal="center" vertical="center" wrapText="1"/>
    </xf>
    <xf numFmtId="0" fontId="3" fillId="9" borderId="0" xfId="0" applyFont="1" applyFill="1" applyAlignment="1">
      <alignment horizontal="center" vertical="center" wrapText="1"/>
    </xf>
    <xf numFmtId="0" fontId="3" fillId="9" borderId="34"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22"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7" borderId="5"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8" xfId="0" applyFont="1" applyFill="1" applyBorder="1" applyAlignment="1">
      <alignment horizontal="center" vertical="center"/>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7" borderId="10" xfId="0" applyFont="1" applyFill="1" applyBorder="1" applyAlignment="1">
      <alignment horizontal="center" vertical="center"/>
    </xf>
    <xf numFmtId="0" fontId="2" fillId="7" borderId="11"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0" fillId="0" borderId="0" xfId="0" applyNumberFormat="1"/>
    <xf numFmtId="0" fontId="0" fillId="8" borderId="0" xfId="0" applyFont="1" applyFill="1" applyAlignment="1">
      <alignment wrapText="1"/>
    </xf>
    <xf numFmtId="0" fontId="0" fillId="12" borderId="0" xfId="0" applyFill="1" applyAlignment="1">
      <alignment wrapText="1"/>
    </xf>
  </cellXfs>
  <cellStyles count="4">
    <cellStyle name="Normal" xfId="0" builtinId="0"/>
    <cellStyle name="ParaBirimi" xfId="2" builtinId="4"/>
    <cellStyle name="Virgül" xfId="1" builtinId="3"/>
    <cellStyle name="Yüzde" xfId="3" builtinId="5"/>
  </cellStyles>
  <dxfs count="23">
    <dxf>
      <numFmt numFmtId="0" formatCode="General"/>
    </dxf>
    <dxf>
      <numFmt numFmtId="0" formatCode="General"/>
      <alignment textRotation="0" wrapText="1" indent="0" justifyLastLine="0" shrinkToFit="0" readingOrder="0"/>
    </dxf>
    <dxf>
      <alignment textRotation="0" wrapText="1" indent="0" justifyLastLine="0" shrinkToFit="0" readingOrder="0"/>
    </dxf>
    <dxf>
      <numFmt numFmtId="0" formatCode="Genera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numFmt numFmtId="19" formatCode="d/mm/yyyy"/>
      <alignment textRotation="0" wrapText="1" indent="0" justifyLastLine="0" shrinkToFit="0" readingOrder="0"/>
    </dxf>
    <dxf>
      <numFmt numFmtId="19" formatCode="d/mm/yyyy"/>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numFmt numFmtId="19" formatCode="d/mm/yyyy"/>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bottom style="thin">
          <color indexed="64"/>
        </bottom>
      </border>
    </dxf>
    <dxf>
      <fill>
        <patternFill>
          <bgColor theme="4" tint="-0.249977111117893"/>
        </patternFill>
      </fill>
      <alignment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Aksiyon Performansı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clustered"/>
        <c:varyColors val="0"/>
        <c:ser>
          <c:idx val="1"/>
          <c:order val="1"/>
          <c:tx>
            <c:strRef>
              <c:f>'Proje Raporu'!$H$3</c:f>
              <c:strCache>
                <c:ptCount val="1"/>
                <c:pt idx="0">
                  <c:v>2026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Raporu'!$L$1</c:f>
              <c:strCache>
                <c:ptCount val="1"/>
                <c:pt idx="0">
                  <c:v>PERFORMANS</c:v>
                </c:pt>
              </c:strCache>
            </c:strRef>
          </c:cat>
          <c:val>
            <c:numRef>
              <c:f>'Proje Raporu'!$L$3</c:f>
              <c:numCache>
                <c:formatCode>0%</c:formatCode>
                <c:ptCount val="1"/>
                <c:pt idx="0">
                  <c:v>0.40186915887850466</c:v>
                </c:pt>
              </c:numCache>
            </c:numRef>
          </c:val>
          <c:extLst>
            <c:ext xmlns:c16="http://schemas.microsoft.com/office/drawing/2014/chart" uri="{C3380CC4-5D6E-409C-BE32-E72D297353CC}">
              <c16:uniqueId val="{00000000-4D14-48DA-874B-86EA07070F67}"/>
            </c:ext>
          </c:extLst>
        </c:ser>
        <c:ser>
          <c:idx val="2"/>
          <c:order val="2"/>
          <c:tx>
            <c:strRef>
              <c:f>'Proje Raporu'!$H$4</c:f>
              <c:strCache>
                <c:ptCount val="1"/>
                <c:pt idx="0">
                  <c:v>2025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Raporu'!$L$1</c:f>
              <c:strCache>
                <c:ptCount val="1"/>
                <c:pt idx="0">
                  <c:v>PERFORMANS</c:v>
                </c:pt>
              </c:strCache>
            </c:strRef>
          </c:cat>
          <c:val>
            <c:numRef>
              <c:f>'Proje Raporu'!$L$4</c:f>
              <c:numCache>
                <c:formatCode>0%</c:formatCode>
                <c:ptCount val="1"/>
                <c:pt idx="0">
                  <c:v>0</c:v>
                </c:pt>
              </c:numCache>
            </c:numRef>
          </c:val>
          <c:extLst>
            <c:ext xmlns:c16="http://schemas.microsoft.com/office/drawing/2014/chart" uri="{C3380CC4-5D6E-409C-BE32-E72D297353CC}">
              <c16:uniqueId val="{00000001-4D14-48DA-874B-86EA07070F67}"/>
            </c:ext>
          </c:extLst>
        </c:ser>
        <c:ser>
          <c:idx val="3"/>
          <c:order val="3"/>
          <c:tx>
            <c:strRef>
              <c:f>'Proje Raporu'!$H$5</c:f>
              <c:strCache>
                <c:ptCount val="1"/>
                <c:pt idx="0">
                  <c:v>2024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Raporu'!$L$1</c:f>
              <c:strCache>
                <c:ptCount val="1"/>
                <c:pt idx="0">
                  <c:v>PERFORMANS</c:v>
                </c:pt>
              </c:strCache>
            </c:strRef>
          </c:cat>
          <c:val>
            <c:numRef>
              <c:f>'Proje Raporu'!$L$5</c:f>
              <c:numCache>
                <c:formatCode>0%</c:formatCode>
                <c:ptCount val="1"/>
                <c:pt idx="0">
                  <c:v>0</c:v>
                </c:pt>
              </c:numCache>
            </c:numRef>
          </c:val>
          <c:extLst>
            <c:ext xmlns:c16="http://schemas.microsoft.com/office/drawing/2014/chart" uri="{C3380CC4-5D6E-409C-BE32-E72D297353CC}">
              <c16:uniqueId val="{00000002-4D14-48DA-874B-86EA07070F67}"/>
            </c:ext>
          </c:extLst>
        </c:ser>
        <c:ser>
          <c:idx val="4"/>
          <c:order val="4"/>
          <c:tx>
            <c:strRef>
              <c:f>'Proje Raporu'!$H$6</c:f>
              <c:strCache>
                <c:ptCount val="1"/>
                <c:pt idx="0">
                  <c:v>2023</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Raporu'!$L$1</c:f>
              <c:strCache>
                <c:ptCount val="1"/>
                <c:pt idx="0">
                  <c:v>PERFORMANS</c:v>
                </c:pt>
              </c:strCache>
            </c:strRef>
          </c:cat>
          <c:val>
            <c:numRef>
              <c:f>'Proje Raporu'!$L$6</c:f>
              <c:numCache>
                <c:formatCode>0%</c:formatCode>
                <c:ptCount val="1"/>
                <c:pt idx="0">
                  <c:v>0</c:v>
                </c:pt>
              </c:numCache>
            </c:numRef>
          </c:val>
          <c:extLst>
            <c:ext xmlns:c16="http://schemas.microsoft.com/office/drawing/2014/chart" uri="{C3380CC4-5D6E-409C-BE32-E72D297353CC}">
              <c16:uniqueId val="{00000003-4D14-48DA-874B-86EA07070F67}"/>
            </c:ext>
          </c:extLst>
        </c:ser>
        <c:ser>
          <c:idx val="5"/>
          <c:order val="5"/>
          <c:tx>
            <c:strRef>
              <c:f>'Proje Raporu'!$H$7</c:f>
              <c:strCache>
                <c:ptCount val="1"/>
                <c:pt idx="0">
                  <c:v>TOPLAM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Raporu'!$L$1</c:f>
              <c:strCache>
                <c:ptCount val="1"/>
                <c:pt idx="0">
                  <c:v>PERFORMANS</c:v>
                </c:pt>
              </c:strCache>
            </c:strRef>
          </c:cat>
          <c:val>
            <c:numRef>
              <c:f>'Proje Raporu'!$L$7</c:f>
              <c:numCache>
                <c:formatCode>0%</c:formatCode>
                <c:ptCount val="1"/>
                <c:pt idx="0">
                  <c:v>0.40186915887850466</c:v>
                </c:pt>
              </c:numCache>
            </c:numRef>
          </c:val>
          <c:extLst>
            <c:ext xmlns:c16="http://schemas.microsoft.com/office/drawing/2014/chart" uri="{C3380CC4-5D6E-409C-BE32-E72D297353CC}">
              <c16:uniqueId val="{00000004-4D14-48DA-874B-86EA07070F67}"/>
            </c:ext>
          </c:extLst>
        </c:ser>
        <c:dLbls>
          <c:dLblPos val="outEnd"/>
          <c:showLegendKey val="0"/>
          <c:showVal val="1"/>
          <c:showCatName val="0"/>
          <c:showSerName val="0"/>
          <c:showPercent val="0"/>
          <c:showBubbleSize val="0"/>
        </c:dLbls>
        <c:gapWidth val="219"/>
        <c:overlap val="-27"/>
        <c:axId val="926469967"/>
        <c:axId val="926457071"/>
        <c:extLst>
          <c:ext xmlns:c15="http://schemas.microsoft.com/office/drawing/2012/chart" uri="{02D57815-91ED-43cb-92C2-25804820EDAC}">
            <c15:filteredBarSeries>
              <c15:ser>
                <c:idx val="0"/>
                <c:order val="0"/>
                <c:tx>
                  <c:strRef>
                    <c:extLst>
                      <c:ext uri="{02D57815-91ED-43cb-92C2-25804820EDAC}">
                        <c15:formulaRef>
                          <c15:sqref>'Proje Raporu'!$H$2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'Proje Raporu'!$L$1</c15:sqref>
                        </c15:formulaRef>
                      </c:ext>
                    </c:extLst>
                    <c:strCache>
                      <c:ptCount val="1"/>
                      <c:pt idx="0">
                        <c:v>PERFORMANS</c:v>
                      </c:pt>
                    </c:strCache>
                  </c:strRef>
                </c:cat>
                <c:val>
                  <c:numRef>
                    <c:extLst>
                      <c:ext uri="{02D57815-91ED-43cb-92C2-25804820EDAC}">
                        <c15:formulaRef>
                          <c15:sqref>'Proje Raporu'!$L$2</c15:sqref>
                        </c15:formulaRef>
                      </c:ext>
                    </c:extLst>
                    <c:numCache>
                      <c:formatCode>General</c:formatCode>
                      <c:ptCount val="1"/>
                    </c:numCache>
                  </c:numRef>
                </c:val>
                <c:extLst>
                  <c:ext xmlns:c16="http://schemas.microsoft.com/office/drawing/2014/chart" uri="{C3380CC4-5D6E-409C-BE32-E72D297353CC}">
                    <c16:uniqueId val="{00000005-4D14-48DA-874B-86EA07070F67}"/>
                  </c:ext>
                </c:extLst>
              </c15:ser>
            </c15:filteredBarSeries>
          </c:ext>
        </c:extLst>
      </c:barChart>
      <c:catAx>
        <c:axId val="926469967"/>
        <c:scaling>
          <c:orientation val="minMax"/>
        </c:scaling>
        <c:delete val="1"/>
        <c:axPos val="b"/>
        <c:numFmt formatCode="General" sourceLinked="1"/>
        <c:majorTickMark val="out"/>
        <c:minorTickMark val="none"/>
        <c:tickLblPos val="nextTo"/>
        <c:crossAx val="926457071"/>
        <c:crosses val="autoZero"/>
        <c:auto val="1"/>
        <c:lblAlgn val="ctr"/>
        <c:lblOffset val="100"/>
        <c:noMultiLvlLbl val="0"/>
      </c:catAx>
      <c:valAx>
        <c:axId val="92645707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926469967"/>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Termine Uyum Performansı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clustered"/>
        <c:varyColors val="0"/>
        <c:ser>
          <c:idx val="1"/>
          <c:order val="1"/>
          <c:tx>
            <c:strRef>
              <c:f>'Proje Raporu'!$H$3</c:f>
              <c:strCache>
                <c:ptCount val="1"/>
                <c:pt idx="0">
                  <c:v>2026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Raporu'!$M$1</c:f>
              <c:strCache>
                <c:ptCount val="1"/>
                <c:pt idx="0">
                  <c:v>TERMİN UYUM</c:v>
                </c:pt>
              </c:strCache>
            </c:strRef>
          </c:cat>
          <c:val>
            <c:numRef>
              <c:f>'Proje Raporu'!$M$3</c:f>
              <c:numCache>
                <c:formatCode>0%</c:formatCode>
                <c:ptCount val="1"/>
                <c:pt idx="0">
                  <c:v>0.35514018691588783</c:v>
                </c:pt>
              </c:numCache>
            </c:numRef>
          </c:val>
          <c:extLst>
            <c:ext xmlns:c16="http://schemas.microsoft.com/office/drawing/2014/chart" uri="{C3380CC4-5D6E-409C-BE32-E72D297353CC}">
              <c16:uniqueId val="{00000000-2659-4A86-9575-FAC28D73813B}"/>
            </c:ext>
          </c:extLst>
        </c:ser>
        <c:ser>
          <c:idx val="2"/>
          <c:order val="2"/>
          <c:tx>
            <c:strRef>
              <c:f>'Proje Raporu'!$H$4</c:f>
              <c:strCache>
                <c:ptCount val="1"/>
                <c:pt idx="0">
                  <c:v>2025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Raporu'!$M$1</c:f>
              <c:strCache>
                <c:ptCount val="1"/>
                <c:pt idx="0">
                  <c:v>TERMİN UYUM</c:v>
                </c:pt>
              </c:strCache>
            </c:strRef>
          </c:cat>
          <c:val>
            <c:numRef>
              <c:f>'Proje Raporu'!$M$4</c:f>
              <c:numCache>
                <c:formatCode>0%</c:formatCode>
                <c:ptCount val="1"/>
                <c:pt idx="0">
                  <c:v>0</c:v>
                </c:pt>
              </c:numCache>
            </c:numRef>
          </c:val>
          <c:extLst>
            <c:ext xmlns:c16="http://schemas.microsoft.com/office/drawing/2014/chart" uri="{C3380CC4-5D6E-409C-BE32-E72D297353CC}">
              <c16:uniqueId val="{00000001-2659-4A86-9575-FAC28D73813B}"/>
            </c:ext>
          </c:extLst>
        </c:ser>
        <c:ser>
          <c:idx val="3"/>
          <c:order val="3"/>
          <c:tx>
            <c:strRef>
              <c:f>'Proje Raporu'!$H$5</c:f>
              <c:strCache>
                <c:ptCount val="1"/>
                <c:pt idx="0">
                  <c:v>2024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Raporu'!$M$1</c:f>
              <c:strCache>
                <c:ptCount val="1"/>
                <c:pt idx="0">
                  <c:v>TERMİN UYUM</c:v>
                </c:pt>
              </c:strCache>
            </c:strRef>
          </c:cat>
          <c:val>
            <c:numRef>
              <c:f>'Proje Raporu'!$M$5</c:f>
              <c:numCache>
                <c:formatCode>0%</c:formatCode>
                <c:ptCount val="1"/>
                <c:pt idx="0">
                  <c:v>0</c:v>
                </c:pt>
              </c:numCache>
            </c:numRef>
          </c:val>
          <c:extLst>
            <c:ext xmlns:c16="http://schemas.microsoft.com/office/drawing/2014/chart" uri="{C3380CC4-5D6E-409C-BE32-E72D297353CC}">
              <c16:uniqueId val="{00000002-2659-4A86-9575-FAC28D73813B}"/>
            </c:ext>
          </c:extLst>
        </c:ser>
        <c:ser>
          <c:idx val="4"/>
          <c:order val="4"/>
          <c:tx>
            <c:strRef>
              <c:f>'Proje Raporu'!$H$6</c:f>
              <c:strCache>
                <c:ptCount val="1"/>
                <c:pt idx="0">
                  <c:v>2023</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Raporu'!$M$1</c:f>
              <c:strCache>
                <c:ptCount val="1"/>
                <c:pt idx="0">
                  <c:v>TERMİN UYUM</c:v>
                </c:pt>
              </c:strCache>
            </c:strRef>
          </c:cat>
          <c:val>
            <c:numRef>
              <c:f>'Proje Raporu'!$M$6</c:f>
              <c:numCache>
                <c:formatCode>0%</c:formatCode>
                <c:ptCount val="1"/>
                <c:pt idx="0">
                  <c:v>0</c:v>
                </c:pt>
              </c:numCache>
            </c:numRef>
          </c:val>
          <c:extLst>
            <c:ext xmlns:c16="http://schemas.microsoft.com/office/drawing/2014/chart" uri="{C3380CC4-5D6E-409C-BE32-E72D297353CC}">
              <c16:uniqueId val="{00000003-2659-4A86-9575-FAC28D73813B}"/>
            </c:ext>
          </c:extLst>
        </c:ser>
        <c:ser>
          <c:idx val="5"/>
          <c:order val="5"/>
          <c:tx>
            <c:strRef>
              <c:f>'Proje Raporu'!$H$7</c:f>
              <c:strCache>
                <c:ptCount val="1"/>
                <c:pt idx="0">
                  <c:v>TOPLAM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 Raporu'!$M$1</c:f>
              <c:strCache>
                <c:ptCount val="1"/>
                <c:pt idx="0">
                  <c:v>TERMİN UYUM</c:v>
                </c:pt>
              </c:strCache>
            </c:strRef>
          </c:cat>
          <c:val>
            <c:numRef>
              <c:f>'Proje Raporu'!$M$7</c:f>
              <c:numCache>
                <c:formatCode>0%</c:formatCode>
                <c:ptCount val="1"/>
                <c:pt idx="0">
                  <c:v>0.35514018691588783</c:v>
                </c:pt>
              </c:numCache>
            </c:numRef>
          </c:val>
          <c:extLst>
            <c:ext xmlns:c16="http://schemas.microsoft.com/office/drawing/2014/chart" uri="{C3380CC4-5D6E-409C-BE32-E72D297353CC}">
              <c16:uniqueId val="{00000004-2659-4A86-9575-FAC28D73813B}"/>
            </c:ext>
          </c:extLst>
        </c:ser>
        <c:dLbls>
          <c:dLblPos val="outEnd"/>
          <c:showLegendKey val="0"/>
          <c:showVal val="1"/>
          <c:showCatName val="0"/>
          <c:showSerName val="0"/>
          <c:showPercent val="0"/>
          <c:showBubbleSize val="0"/>
        </c:dLbls>
        <c:gapWidth val="219"/>
        <c:overlap val="-27"/>
        <c:axId val="1073357151"/>
        <c:axId val="1073361311"/>
        <c:extLst>
          <c:ext xmlns:c15="http://schemas.microsoft.com/office/drawing/2012/chart" uri="{02D57815-91ED-43cb-92C2-25804820EDAC}">
            <c15:filteredBarSeries>
              <c15:ser>
                <c:idx val="0"/>
                <c:order val="0"/>
                <c:tx>
                  <c:strRef>
                    <c:extLst>
                      <c:ext uri="{02D57815-91ED-43cb-92C2-25804820EDAC}">
                        <c15:formulaRef>
                          <c15:sqref>'Proje Raporu'!$H$2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'Proje Raporu'!$M$1</c15:sqref>
                        </c15:formulaRef>
                      </c:ext>
                    </c:extLst>
                    <c:strCache>
                      <c:ptCount val="1"/>
                      <c:pt idx="0">
                        <c:v>TERMİN UYUM</c:v>
                      </c:pt>
                    </c:strCache>
                  </c:strRef>
                </c:cat>
                <c:val>
                  <c:numRef>
                    <c:extLst>
                      <c:ext uri="{02D57815-91ED-43cb-92C2-25804820EDAC}">
                        <c15:formulaRef>
                          <c15:sqref>'Proje Raporu'!$M$2</c15:sqref>
                        </c15:formulaRef>
                      </c:ext>
                    </c:extLst>
                    <c:numCache>
                      <c:formatCode>General</c:formatCode>
                      <c:ptCount val="1"/>
                    </c:numCache>
                  </c:numRef>
                </c:val>
                <c:extLst>
                  <c:ext xmlns:c16="http://schemas.microsoft.com/office/drawing/2014/chart" uri="{C3380CC4-5D6E-409C-BE32-E72D297353CC}">
                    <c16:uniqueId val="{00000005-2659-4A86-9575-FAC28D73813B}"/>
                  </c:ext>
                </c:extLst>
              </c15:ser>
            </c15:filteredBarSeries>
          </c:ext>
        </c:extLst>
      </c:barChart>
      <c:catAx>
        <c:axId val="1073357151"/>
        <c:scaling>
          <c:orientation val="minMax"/>
        </c:scaling>
        <c:delete val="1"/>
        <c:axPos val="b"/>
        <c:numFmt formatCode="General" sourceLinked="1"/>
        <c:majorTickMark val="none"/>
        <c:minorTickMark val="none"/>
        <c:tickLblPos val="nextTo"/>
        <c:crossAx val="1073361311"/>
        <c:crosses val="autoZero"/>
        <c:auto val="1"/>
        <c:lblAlgn val="ctr"/>
        <c:lblOffset val="100"/>
        <c:noMultiLvlLbl val="0"/>
      </c:catAx>
      <c:valAx>
        <c:axId val="10733613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73357151"/>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[Müşteri ismi-202607-27.xlsx]Pivot!PivotTable20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Proje</a:t>
            </a:r>
            <a:r>
              <a:rPr lang="tr-TR" baseline="0"/>
              <a:t> Ekibi Termin Performansı</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Pivot!$V$3:$V$4</c:f>
              <c:strCache>
                <c:ptCount val="1"/>
                <c:pt idx="0">
                  <c:v>GECİKME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Pivot!$U$5:$U$19</c:f>
              <c:strCache>
                <c:ptCount val="14"/>
                <c:pt idx="0">
                  <c:v>Kemal Doğan</c:v>
                </c:pt>
                <c:pt idx="1">
                  <c:v>Emre Soylu</c:v>
                </c:pt>
                <c:pt idx="2">
                  <c:v>Doğukan Topçu</c:v>
                </c:pt>
                <c:pt idx="3">
                  <c:v>Sanem Dokumacı</c:v>
                </c:pt>
                <c:pt idx="4">
                  <c:v>Gözde Tohumci</c:v>
                </c:pt>
                <c:pt idx="5">
                  <c:v>Uğur Yılmaz</c:v>
                </c:pt>
                <c:pt idx="6">
                  <c:v>Emine Doğru</c:v>
                </c:pt>
                <c:pt idx="7">
                  <c:v>Ersan Sezgin</c:v>
                </c:pt>
                <c:pt idx="8">
                  <c:v>Sezayi Parlakkılıç</c:v>
                </c:pt>
                <c:pt idx="9">
                  <c:v>Pınar Yılmaz</c:v>
                </c:pt>
                <c:pt idx="10">
                  <c:v>Gamze Öyekcin</c:v>
                </c:pt>
                <c:pt idx="11">
                  <c:v>Barış Avcı</c:v>
                </c:pt>
                <c:pt idx="12">
                  <c:v>Gülçin Başçiftci</c:v>
                </c:pt>
                <c:pt idx="13">
                  <c:v>Derya Gümüşoğlu</c:v>
                </c:pt>
              </c:strCache>
            </c:strRef>
          </c:cat>
          <c:val>
            <c:numRef>
              <c:f>Pivot!$V$5:$V$19</c:f>
              <c:numCache>
                <c:formatCode>General</c:formatCode>
                <c:ptCount val="14"/>
                <c:pt idx="0">
                  <c:v>2</c:v>
                </c:pt>
                <c:pt idx="1">
                  <c:v>18</c:v>
                </c:pt>
                <c:pt idx="2">
                  <c:v>7</c:v>
                </c:pt>
                <c:pt idx="3">
                  <c:v>11</c:v>
                </c:pt>
                <c:pt idx="4">
                  <c:v>7</c:v>
                </c:pt>
                <c:pt idx="5">
                  <c:v>2</c:v>
                </c:pt>
                <c:pt idx="6">
                  <c:v>1</c:v>
                </c:pt>
                <c:pt idx="7">
                  <c:v>3</c:v>
                </c:pt>
                <c:pt idx="8">
                  <c:v>1</c:v>
                </c:pt>
                <c:pt idx="9">
                  <c:v>4</c:v>
                </c:pt>
                <c:pt idx="10">
                  <c:v>6</c:v>
                </c:pt>
                <c:pt idx="11">
                  <c:v>2</c:v>
                </c:pt>
                <c:pt idx="12">
                  <c:v>1</c:v>
                </c:pt>
                <c:pt idx="13">
                  <c:v>4</c:v>
                </c:pt>
              </c:numCache>
            </c:numRef>
          </c:val>
          <c:extLst>
            <c:ext xmlns:c16="http://schemas.microsoft.com/office/drawing/2014/chart" uri="{C3380CC4-5D6E-409C-BE32-E72D297353CC}">
              <c16:uniqueId val="{00000000-145F-484A-B580-7527F981FFA4}"/>
            </c:ext>
          </c:extLst>
        </c:ser>
        <c:ser>
          <c:idx val="1"/>
          <c:order val="1"/>
          <c:tx>
            <c:strRef>
              <c:f>Pivot!$W$3:$W$4</c:f>
              <c:strCache>
                <c:ptCount val="1"/>
                <c:pt idx="0">
                  <c:v>ZAMANINDA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Pivot!$U$5:$U$19</c:f>
              <c:strCache>
                <c:ptCount val="14"/>
                <c:pt idx="0">
                  <c:v>Kemal Doğan</c:v>
                </c:pt>
                <c:pt idx="1">
                  <c:v>Emre Soylu</c:v>
                </c:pt>
                <c:pt idx="2">
                  <c:v>Doğukan Topçu</c:v>
                </c:pt>
                <c:pt idx="3">
                  <c:v>Sanem Dokumacı</c:v>
                </c:pt>
                <c:pt idx="4">
                  <c:v>Gözde Tohumci</c:v>
                </c:pt>
                <c:pt idx="5">
                  <c:v>Uğur Yılmaz</c:v>
                </c:pt>
                <c:pt idx="6">
                  <c:v>Emine Doğru</c:v>
                </c:pt>
                <c:pt idx="7">
                  <c:v>Ersan Sezgin</c:v>
                </c:pt>
                <c:pt idx="8">
                  <c:v>Sezayi Parlakkılıç</c:v>
                </c:pt>
                <c:pt idx="9">
                  <c:v>Pınar Yılmaz</c:v>
                </c:pt>
                <c:pt idx="10">
                  <c:v>Gamze Öyekcin</c:v>
                </c:pt>
                <c:pt idx="11">
                  <c:v>Barış Avcı</c:v>
                </c:pt>
                <c:pt idx="12">
                  <c:v>Gülçin Başçiftci</c:v>
                </c:pt>
                <c:pt idx="13">
                  <c:v>Derya Gümüşoğlu</c:v>
                </c:pt>
              </c:strCache>
            </c:strRef>
          </c:cat>
          <c:val>
            <c:numRef>
              <c:f>Pivot!$W$5:$W$19</c:f>
              <c:numCache>
                <c:formatCode>General</c:formatCode>
                <c:ptCount val="14"/>
                <c:pt idx="0">
                  <c:v>11</c:v>
                </c:pt>
                <c:pt idx="1">
                  <c:v>6</c:v>
                </c:pt>
                <c:pt idx="2">
                  <c:v>1</c:v>
                </c:pt>
                <c:pt idx="4">
                  <c:v>6</c:v>
                </c:pt>
                <c:pt idx="7">
                  <c:v>7</c:v>
                </c:pt>
                <c:pt idx="8">
                  <c:v>1</c:v>
                </c:pt>
                <c:pt idx="11">
                  <c:v>6</c:v>
                </c:pt>
              </c:numCache>
            </c:numRef>
          </c:val>
          <c:extLst>
            <c:ext xmlns:c16="http://schemas.microsoft.com/office/drawing/2014/chart" uri="{C3380CC4-5D6E-409C-BE32-E72D297353CC}">
              <c16:uniqueId val="{00000000-5478-F243-B3E0-724489012DAA}"/>
            </c:ext>
          </c:extLst>
        </c:ser>
        <c:dLbls>
          <c:dLblPos val="ctr"/>
          <c:showLegendKey val="0"/>
          <c:showVal val="1"/>
          <c:showCatName val="0"/>
          <c:showSerName val="0"/>
          <c:showPercent val="0"/>
          <c:showBubbleSize val="0"/>
        </c:dLbls>
        <c:gapWidth val="219"/>
        <c:overlap val="100"/>
        <c:axId val="1073356735"/>
        <c:axId val="1073372543"/>
      </c:barChart>
      <c:catAx>
        <c:axId val="10733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73372543"/>
        <c:crosses val="autoZero"/>
        <c:auto val="1"/>
        <c:lblAlgn val="ctr"/>
        <c:lblOffset val="100"/>
        <c:noMultiLvlLbl val="0"/>
      </c:catAx>
      <c:valAx>
        <c:axId val="107337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733567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[Müşteri ismi-202607-27.xlsx]Pivot!PivotTable21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Proje Ekibi Aksiyon Performansı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Pivot!$Z$3:$Z$4</c:f>
              <c:strCache>
                <c:ptCount val="1"/>
                <c:pt idx="0">
                  <c:v>Açık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Pivot!$Y$5:$Y$19</c:f>
              <c:strCache>
                <c:ptCount val="14"/>
                <c:pt idx="0">
                  <c:v>Kemal Doğan</c:v>
                </c:pt>
                <c:pt idx="1">
                  <c:v>Emre Soylu</c:v>
                </c:pt>
                <c:pt idx="2">
                  <c:v>Doğukan Topçu</c:v>
                </c:pt>
                <c:pt idx="3">
                  <c:v>Sanem Dokumacı</c:v>
                </c:pt>
                <c:pt idx="4">
                  <c:v>Gözde Tohumci</c:v>
                </c:pt>
                <c:pt idx="5">
                  <c:v>Uğur Yılmaz</c:v>
                </c:pt>
                <c:pt idx="6">
                  <c:v>Emine Doğru</c:v>
                </c:pt>
                <c:pt idx="7">
                  <c:v>Ersan Sezgin</c:v>
                </c:pt>
                <c:pt idx="8">
                  <c:v>Sezayi Parlakkılıç</c:v>
                </c:pt>
                <c:pt idx="9">
                  <c:v>Pınar Yılmaz</c:v>
                </c:pt>
                <c:pt idx="10">
                  <c:v>Gamze Öyekcin</c:v>
                </c:pt>
                <c:pt idx="11">
                  <c:v>Barış Avcı</c:v>
                </c:pt>
                <c:pt idx="12">
                  <c:v>Gülçin Başçiftci</c:v>
                </c:pt>
                <c:pt idx="13">
                  <c:v>Derya Gümüşoğlu</c:v>
                </c:pt>
              </c:strCache>
            </c:strRef>
          </c:cat>
          <c:val>
            <c:numRef>
              <c:f>Pivot!$Z$5:$Z$19</c:f>
              <c:numCache>
                <c:formatCode>General</c:formatCode>
                <c:ptCount val="14"/>
                <c:pt idx="1">
                  <c:v>18</c:v>
                </c:pt>
                <c:pt idx="2">
                  <c:v>3</c:v>
                </c:pt>
                <c:pt idx="4">
                  <c:v>2</c:v>
                </c:pt>
                <c:pt idx="5">
                  <c:v>2</c:v>
                </c:pt>
                <c:pt idx="6">
                  <c:v>1</c:v>
                </c:pt>
                <c:pt idx="7">
                  <c:v>9</c:v>
                </c:pt>
                <c:pt idx="8">
                  <c:v>1</c:v>
                </c:pt>
                <c:pt idx="9">
                  <c:v>4</c:v>
                </c:pt>
                <c:pt idx="10">
                  <c:v>6</c:v>
                </c:pt>
                <c:pt idx="11">
                  <c:v>6</c:v>
                </c:pt>
                <c:pt idx="12">
                  <c:v>1</c:v>
                </c:pt>
              </c:numCache>
            </c:numRef>
          </c:val>
          <c:extLst>
            <c:ext xmlns:c16="http://schemas.microsoft.com/office/drawing/2014/chart" uri="{C3380CC4-5D6E-409C-BE32-E72D297353CC}">
              <c16:uniqueId val="{00000000-2576-45FD-9AD7-31140CACB4AF}"/>
            </c:ext>
          </c:extLst>
        </c:ser>
        <c:ser>
          <c:idx val="1"/>
          <c:order val="1"/>
          <c:tx>
            <c:strRef>
              <c:f>Pivot!$AA$3:$AA$4</c:f>
              <c:strCache>
                <c:ptCount val="1"/>
                <c:pt idx="0">
                  <c:v>Devam Ediyor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Pivot!$Y$5:$Y$19</c:f>
              <c:strCache>
                <c:ptCount val="14"/>
                <c:pt idx="0">
                  <c:v>Kemal Doğan</c:v>
                </c:pt>
                <c:pt idx="1">
                  <c:v>Emre Soylu</c:v>
                </c:pt>
                <c:pt idx="2">
                  <c:v>Doğukan Topçu</c:v>
                </c:pt>
                <c:pt idx="3">
                  <c:v>Sanem Dokumacı</c:v>
                </c:pt>
                <c:pt idx="4">
                  <c:v>Gözde Tohumci</c:v>
                </c:pt>
                <c:pt idx="5">
                  <c:v>Uğur Yılmaz</c:v>
                </c:pt>
                <c:pt idx="6">
                  <c:v>Emine Doğru</c:v>
                </c:pt>
                <c:pt idx="7">
                  <c:v>Ersan Sezgin</c:v>
                </c:pt>
                <c:pt idx="8">
                  <c:v>Sezayi Parlakkılıç</c:v>
                </c:pt>
                <c:pt idx="9">
                  <c:v>Pınar Yılmaz</c:v>
                </c:pt>
                <c:pt idx="10">
                  <c:v>Gamze Öyekcin</c:v>
                </c:pt>
                <c:pt idx="11">
                  <c:v>Barış Avcı</c:v>
                </c:pt>
                <c:pt idx="12">
                  <c:v>Gülçin Başçiftci</c:v>
                </c:pt>
                <c:pt idx="13">
                  <c:v>Derya Gümüşoğlu</c:v>
                </c:pt>
              </c:strCache>
            </c:strRef>
          </c:cat>
          <c:val>
            <c:numRef>
              <c:f>Pivot!$AA$5:$AA$19</c:f>
              <c:numCache>
                <c:formatCode>General</c:formatCode>
                <c:ptCount val="14"/>
                <c:pt idx="0">
                  <c:v>1</c:v>
                </c:pt>
                <c:pt idx="1">
                  <c:v>4</c:v>
                </c:pt>
                <c:pt idx="2">
                  <c:v>4</c:v>
                </c:pt>
                <c:pt idx="7">
                  <c:v>1</c:v>
                </c:pt>
                <c:pt idx="13">
                  <c:v>1</c:v>
                </c:pt>
              </c:numCache>
            </c:numRef>
          </c:val>
          <c:extLst>
            <c:ext xmlns:c16="http://schemas.microsoft.com/office/drawing/2014/chart" uri="{C3380CC4-5D6E-409C-BE32-E72D297353CC}">
              <c16:uniqueId val="{00000000-EB9A-CB42-BA36-B7DEF57C7FF1}"/>
            </c:ext>
          </c:extLst>
        </c:ser>
        <c:ser>
          <c:idx val="2"/>
          <c:order val="2"/>
          <c:tx>
            <c:strRef>
              <c:f>Pivot!$AB$3:$AB$4</c:f>
              <c:strCache>
                <c:ptCount val="1"/>
                <c:pt idx="0">
                  <c:v>Kapalı</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Pivot!$Y$5:$Y$19</c:f>
              <c:strCache>
                <c:ptCount val="14"/>
                <c:pt idx="0">
                  <c:v>Kemal Doğan</c:v>
                </c:pt>
                <c:pt idx="1">
                  <c:v>Emre Soylu</c:v>
                </c:pt>
                <c:pt idx="2">
                  <c:v>Doğukan Topçu</c:v>
                </c:pt>
                <c:pt idx="3">
                  <c:v>Sanem Dokumacı</c:v>
                </c:pt>
                <c:pt idx="4">
                  <c:v>Gözde Tohumci</c:v>
                </c:pt>
                <c:pt idx="5">
                  <c:v>Uğur Yılmaz</c:v>
                </c:pt>
                <c:pt idx="6">
                  <c:v>Emine Doğru</c:v>
                </c:pt>
                <c:pt idx="7">
                  <c:v>Ersan Sezgin</c:v>
                </c:pt>
                <c:pt idx="8">
                  <c:v>Sezayi Parlakkılıç</c:v>
                </c:pt>
                <c:pt idx="9">
                  <c:v>Pınar Yılmaz</c:v>
                </c:pt>
                <c:pt idx="10">
                  <c:v>Gamze Öyekcin</c:v>
                </c:pt>
                <c:pt idx="11">
                  <c:v>Barış Avcı</c:v>
                </c:pt>
                <c:pt idx="12">
                  <c:v>Gülçin Başçiftci</c:v>
                </c:pt>
                <c:pt idx="13">
                  <c:v>Derya Gümüşoğlu</c:v>
                </c:pt>
              </c:strCache>
            </c:strRef>
          </c:cat>
          <c:val>
            <c:numRef>
              <c:f>Pivot!$AB$5:$AB$19</c:f>
              <c:numCache>
                <c:formatCode>General</c:formatCode>
                <c:ptCount val="14"/>
                <c:pt idx="0">
                  <c:v>12</c:v>
                </c:pt>
                <c:pt idx="1">
                  <c:v>2</c:v>
                </c:pt>
                <c:pt idx="2">
                  <c:v>1</c:v>
                </c:pt>
                <c:pt idx="3">
                  <c:v>11</c:v>
                </c:pt>
                <c:pt idx="4">
                  <c:v>11</c:v>
                </c:pt>
                <c:pt idx="8">
                  <c:v>1</c:v>
                </c:pt>
                <c:pt idx="11">
                  <c:v>2</c:v>
                </c:pt>
                <c:pt idx="13">
                  <c:v>3</c:v>
                </c:pt>
              </c:numCache>
            </c:numRef>
          </c:val>
          <c:extLst>
            <c:ext xmlns:c16="http://schemas.microsoft.com/office/drawing/2014/chart" uri="{C3380CC4-5D6E-409C-BE32-E72D297353CC}">
              <c16:uniqueId val="{00000001-EB9A-CB42-BA36-B7DEF57C7FF1}"/>
            </c:ext>
          </c:extLst>
        </c:ser>
        <c:dLbls>
          <c:dLblPos val="ctr"/>
          <c:showLegendKey val="0"/>
          <c:showVal val="1"/>
          <c:showCatName val="0"/>
          <c:showSerName val="0"/>
          <c:showPercent val="0"/>
          <c:showBubbleSize val="0"/>
        </c:dLbls>
        <c:gapWidth val="219"/>
        <c:overlap val="100"/>
        <c:axId val="666795503"/>
        <c:axId val="666785519"/>
      </c:barChart>
      <c:catAx>
        <c:axId val="66679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66785519"/>
        <c:crosses val="autoZero"/>
        <c:auto val="1"/>
        <c:lblAlgn val="ctr"/>
        <c:lblOffset val="100"/>
        <c:noMultiLvlLbl val="0"/>
      </c:catAx>
      <c:valAx>
        <c:axId val="66678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6679550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[Müşteri ismi-202607-27.xlsx]Pivot!PivotTable1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Faaliyet Konusu - Aksiyon Sayısı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Pivot!$AF$3</c:f>
              <c:strCache>
                <c:ptCount val="1"/>
                <c:pt idx="0">
                  <c:v>Toplam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Pivot!$AE$4:$AE$17</c:f>
              <c:strCache>
                <c:ptCount val="13"/>
                <c:pt idx="0">
                  <c:v>EĞİTİM</c:v>
                </c:pt>
                <c:pt idx="1">
                  <c:v>GÖRSEL YÖNETİM</c:v>
                </c:pt>
                <c:pt idx="2">
                  <c:v>KAİZEN</c:v>
                </c:pt>
                <c:pt idx="3">
                  <c:v>SAHA YÖNETİMİ</c:v>
                </c:pt>
                <c:pt idx="4">
                  <c:v>STANDART İŞ</c:v>
                </c:pt>
                <c:pt idx="5">
                  <c:v>VSM</c:v>
                </c:pt>
                <c:pt idx="6">
                  <c:v>AKIŞ İYİLEŞTİRME</c:v>
                </c:pt>
                <c:pt idx="7">
                  <c:v>5S</c:v>
                </c:pt>
                <c:pt idx="8">
                  <c:v>KALİTE</c:v>
                </c:pt>
                <c:pt idx="9">
                  <c:v>OEE</c:v>
                </c:pt>
                <c:pt idx="10">
                  <c:v>SMED</c:v>
                </c:pt>
                <c:pt idx="11">
                  <c:v>A3</c:v>
                </c:pt>
                <c:pt idx="12">
                  <c:v>TPM</c:v>
                </c:pt>
              </c:strCache>
            </c:strRef>
          </c:cat>
          <c:val>
            <c:numRef>
              <c:f>Pivot!$AF$4:$AF$17</c:f>
              <c:numCache>
                <c:formatCode>General</c:formatCode>
                <c:ptCount val="13"/>
                <c:pt idx="0">
                  <c:v>9</c:v>
                </c:pt>
                <c:pt idx="1">
                  <c:v>12</c:v>
                </c:pt>
                <c:pt idx="2">
                  <c:v>1</c:v>
                </c:pt>
                <c:pt idx="3">
                  <c:v>7</c:v>
                </c:pt>
                <c:pt idx="4">
                  <c:v>2</c:v>
                </c:pt>
                <c:pt idx="5">
                  <c:v>11</c:v>
                </c:pt>
                <c:pt idx="6">
                  <c:v>3</c:v>
                </c:pt>
                <c:pt idx="7">
                  <c:v>3</c:v>
                </c:pt>
                <c:pt idx="8">
                  <c:v>23</c:v>
                </c:pt>
                <c:pt idx="9">
                  <c:v>4</c:v>
                </c:pt>
                <c:pt idx="10">
                  <c:v>27</c:v>
                </c:pt>
                <c:pt idx="11">
                  <c:v>1</c:v>
                </c:pt>
                <c:pt idx="12">
                  <c:v>4</c:v>
                </c:pt>
              </c:numCache>
            </c:numRef>
          </c:val>
          <c:extLst>
            <c:ext xmlns:c16="http://schemas.microsoft.com/office/drawing/2014/chart" uri="{C3380CC4-5D6E-409C-BE32-E72D297353CC}">
              <c16:uniqueId val="{00000000-F431-49A2-8062-9DC9B27D8F57}"/>
            </c:ext>
          </c:extLst>
        </c:ser>
        <c:dLbls>
          <c:dLblPos val="outEnd"/>
          <c:showLegendKey val="0"/>
          <c:showVal val="1"/>
          <c:showCatName val="0"/>
          <c:showSerName val="0"/>
          <c:showPercent val="0"/>
          <c:showBubbleSize val="0"/>
        </c:dLbls>
        <c:gapWidth val="219"/>
        <c:overlap val="-27"/>
        <c:axId val="1937930064"/>
        <c:axId val="1674737952"/>
      </c:barChart>
      <c:catAx>
        <c:axId val="193793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74737952"/>
        <c:crosses val="autoZero"/>
        <c:auto val="1"/>
        <c:lblAlgn val="ctr"/>
        <c:lblOffset val="100"/>
        <c:noMultiLvlLbl val="0"/>
      </c:catAx>
      <c:valAx>
        <c:axId val="167473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37930064"/>
        <c:crosses val="autoZero"/>
        <c:crossBetween val="between"/>
        <c:maj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[Müşteri ismi-202607-27.xlsx]Pivot!PivotTable2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İyileştirme Konusu - Aksiyon Sayısı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Pivot!$AI$3</c:f>
              <c:strCache>
                <c:ptCount val="1"/>
                <c:pt idx="0">
                  <c:v>Toplam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Pivot!$AH$4:$AH$10</c:f>
              <c:strCache>
                <c:ptCount val="6"/>
                <c:pt idx="0">
                  <c:v>5S</c:v>
                </c:pt>
                <c:pt idx="1">
                  <c:v>ÇEVRE</c:v>
                </c:pt>
                <c:pt idx="2">
                  <c:v>GÜVENLİK</c:v>
                </c:pt>
                <c:pt idx="3">
                  <c:v>KALİTE</c:v>
                </c:pt>
                <c:pt idx="4">
                  <c:v>MOTİVASYON</c:v>
                </c:pt>
                <c:pt idx="5">
                  <c:v>VERİMLİLİK</c:v>
                </c:pt>
              </c:strCache>
            </c:strRef>
          </c:cat>
          <c:val>
            <c:numRef>
              <c:f>Pivot!$AI$4:$AI$10</c:f>
              <c:numCache>
                <c:formatCode>General</c:formatCode>
                <c:ptCount val="6"/>
                <c:pt idx="0">
                  <c:v>2</c:v>
                </c:pt>
                <c:pt idx="1">
                  <c:v>2</c:v>
                </c:pt>
                <c:pt idx="2">
                  <c:v>3</c:v>
                </c:pt>
                <c:pt idx="3">
                  <c:v>26</c:v>
                </c:pt>
                <c:pt idx="4">
                  <c:v>6</c:v>
                </c:pt>
                <c:pt idx="5">
                  <c:v>68</c:v>
                </c:pt>
              </c:numCache>
            </c:numRef>
          </c:val>
          <c:extLst>
            <c:ext xmlns:c16="http://schemas.microsoft.com/office/drawing/2014/chart" uri="{C3380CC4-5D6E-409C-BE32-E72D297353CC}">
              <c16:uniqueId val="{00000000-90DE-4903-A469-BF935914FCB3}"/>
            </c:ext>
          </c:extLst>
        </c:ser>
        <c:dLbls>
          <c:showLegendKey val="0"/>
          <c:showVal val="0"/>
          <c:showCatName val="0"/>
          <c:showSerName val="0"/>
          <c:showPercent val="0"/>
          <c:showBubbleSize val="0"/>
        </c:dLbls>
        <c:gapWidth val="219"/>
        <c:overlap val="-27"/>
        <c:axId val="1926136944"/>
        <c:axId val="1926133200"/>
      </c:barChart>
      <c:catAx>
        <c:axId val="192613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26133200"/>
        <c:crosses val="autoZero"/>
        <c:auto val="1"/>
        <c:lblAlgn val="ctr"/>
        <c:lblOffset val="100"/>
        <c:noMultiLvlLbl val="0"/>
      </c:catAx>
      <c:valAx>
        <c:axId val="192613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26136944"/>
        <c:crosses val="autoZero"/>
        <c:crossBetween val="between"/>
        <c:maj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[Müşteri ismi-202607-27.xlsx]Pivot!PivotTable7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Kaizen Konuları - Aksiyon Sayısı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Pivot!$AL$3</c:f>
              <c:strCache>
                <c:ptCount val="1"/>
                <c:pt idx="0">
                  <c:v>Toplam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Pivot!$AK$4:$AK$12</c:f>
              <c:strCache>
                <c:ptCount val="8"/>
                <c:pt idx="0">
                  <c:v>KAZA RİSKİ</c:v>
                </c:pt>
                <c:pt idx="1">
                  <c:v>MOTIVASYON</c:v>
                </c:pt>
                <c:pt idx="2">
                  <c:v>ÜRETKENLİK</c:v>
                </c:pt>
                <c:pt idx="3">
                  <c:v>VERİMLİLİK</c:v>
                </c:pt>
                <c:pt idx="4">
                  <c:v>YETENEK</c:v>
                </c:pt>
                <c:pt idx="5">
                  <c:v>ZAMAN</c:v>
                </c:pt>
                <c:pt idx="6">
                  <c:v>KALİTE</c:v>
                </c:pt>
                <c:pt idx="7">
                  <c:v>STOK</c:v>
                </c:pt>
              </c:strCache>
            </c:strRef>
          </c:cat>
          <c:val>
            <c:numRef>
              <c:f>Pivot!$AL$4:$AL$12</c:f>
              <c:numCache>
                <c:formatCode>General</c:formatCode>
                <c:ptCount val="8"/>
                <c:pt idx="0">
                  <c:v>1</c:v>
                </c:pt>
                <c:pt idx="1">
                  <c:v>4</c:v>
                </c:pt>
                <c:pt idx="2">
                  <c:v>19</c:v>
                </c:pt>
                <c:pt idx="3">
                  <c:v>23</c:v>
                </c:pt>
                <c:pt idx="4">
                  <c:v>4</c:v>
                </c:pt>
                <c:pt idx="5">
                  <c:v>21</c:v>
                </c:pt>
                <c:pt idx="6">
                  <c:v>27</c:v>
                </c:pt>
                <c:pt idx="7">
                  <c:v>8</c:v>
                </c:pt>
              </c:numCache>
            </c:numRef>
          </c:val>
          <c:extLst>
            <c:ext xmlns:c16="http://schemas.microsoft.com/office/drawing/2014/chart" uri="{C3380CC4-5D6E-409C-BE32-E72D297353CC}">
              <c16:uniqueId val="{00000000-B387-47F2-9415-00D2062D4663}"/>
            </c:ext>
          </c:extLst>
        </c:ser>
        <c:dLbls>
          <c:showLegendKey val="0"/>
          <c:showVal val="0"/>
          <c:showCatName val="0"/>
          <c:showSerName val="0"/>
          <c:showPercent val="0"/>
          <c:showBubbleSize val="0"/>
        </c:dLbls>
        <c:gapWidth val="219"/>
        <c:overlap val="-27"/>
        <c:axId val="1815878016"/>
        <c:axId val="1815879264"/>
      </c:barChart>
      <c:catAx>
        <c:axId val="181587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815879264"/>
        <c:crosses val="autoZero"/>
        <c:auto val="1"/>
        <c:lblAlgn val="ctr"/>
        <c:lblOffset val="100"/>
        <c:noMultiLvlLbl val="0"/>
      </c:catAx>
      <c:valAx>
        <c:axId val="181587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815878016"/>
        <c:crosses val="autoZero"/>
        <c:crossBetween val="between"/>
        <c:maj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[Müşteri ismi-202607-27.xlsx]Pivot!PivotTable8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OPEX  PUANI - OEE - LEAD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Pivot!$AO$3</c:f>
              <c:strCache>
                <c:ptCount val="1"/>
                <c:pt idx="0">
                  <c:v>OPEX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Pivot!$AN$4:$AN$5</c:f>
              <c:strCache>
                <c:ptCount val="1"/>
                <c:pt idx="0">
                  <c:v>(boş)</c:v>
                </c:pt>
              </c:strCache>
            </c:strRef>
          </c:cat>
          <c:val>
            <c:numRef>
              <c:f>Pivot!$AO$4:$AO$5</c:f>
              <c:numCache>
                <c:formatCode>General</c:formatCode>
                <c:ptCount val="1"/>
              </c:numCache>
            </c:numRef>
          </c:val>
          <c:extLst>
            <c:ext xmlns:c16="http://schemas.microsoft.com/office/drawing/2014/chart" uri="{C3380CC4-5D6E-409C-BE32-E72D297353CC}">
              <c16:uniqueId val="{00000000-1942-4C97-809A-79D0407DFBDE}"/>
            </c:ext>
          </c:extLst>
        </c:ser>
        <c:ser>
          <c:idx val="1"/>
          <c:order val="1"/>
          <c:tx>
            <c:strRef>
              <c:f>Pivot!$AP$3</c:f>
              <c:strCache>
                <c:ptCount val="1"/>
                <c:pt idx="0">
                  <c:v>OEE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Pivot!$AN$4:$AN$5</c:f>
              <c:strCache>
                <c:ptCount val="1"/>
                <c:pt idx="0">
                  <c:v>(boş)</c:v>
                </c:pt>
              </c:strCache>
            </c:strRef>
          </c:cat>
          <c:val>
            <c:numRef>
              <c:f>Pivot!$AP$4:$AP$5</c:f>
              <c:numCache>
                <c:formatCode>General</c:formatCode>
                <c:ptCount val="1"/>
              </c:numCache>
            </c:numRef>
          </c:val>
          <c:extLst>
            <c:ext xmlns:c16="http://schemas.microsoft.com/office/drawing/2014/chart" uri="{C3380CC4-5D6E-409C-BE32-E72D297353CC}">
              <c16:uniqueId val="{00000001-1942-4C97-809A-79D0407DFBDE}"/>
            </c:ext>
          </c:extLst>
        </c:ser>
        <c:ser>
          <c:idx val="2"/>
          <c:order val="2"/>
          <c:tx>
            <c:strRef>
              <c:f>Pivot!$AQ$3</c:f>
              <c:strCache>
                <c:ptCount val="1"/>
                <c:pt idx="0">
                  <c:v>Lead Time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Pivot!$AN$4:$AN$5</c:f>
              <c:strCache>
                <c:ptCount val="1"/>
                <c:pt idx="0">
                  <c:v>(boş)</c:v>
                </c:pt>
              </c:strCache>
            </c:strRef>
          </c:cat>
          <c:val>
            <c:numRef>
              <c:f>Pivot!$AQ$4:$AQ$5</c:f>
              <c:numCache>
                <c:formatCode>General</c:formatCode>
                <c:ptCount val="1"/>
              </c:numCache>
            </c:numRef>
          </c:val>
          <c:extLst>
            <c:ext xmlns:c16="http://schemas.microsoft.com/office/drawing/2014/chart" uri="{C3380CC4-5D6E-409C-BE32-E72D297353CC}">
              <c16:uniqueId val="{00000002-1942-4C97-809A-79D0407DFBDE}"/>
            </c:ext>
          </c:extLst>
        </c:ser>
        <c:dLbls>
          <c:dLblPos val="outEnd"/>
          <c:showLegendKey val="0"/>
          <c:showVal val="1"/>
          <c:showCatName val="0"/>
          <c:showSerName val="0"/>
          <c:showPercent val="0"/>
          <c:showBubbleSize val="0"/>
        </c:dLbls>
        <c:gapWidth val="219"/>
        <c:overlap val="-27"/>
        <c:axId val="554760960"/>
        <c:axId val="554753056"/>
      </c:barChart>
      <c:catAx>
        <c:axId val="55476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54753056"/>
        <c:crosses val="autoZero"/>
        <c:auto val="1"/>
        <c:lblAlgn val="ctr"/>
        <c:lblOffset val="100"/>
        <c:noMultiLvlLbl val="0"/>
      </c:catAx>
      <c:valAx>
        <c:axId val="55475305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54760960"/>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381000</xdr:colOff>
      <xdr:row>13</xdr:row>
      <xdr:rowOff>91440</xdr:rowOff>
    </xdr:to>
    <xdr:graphicFrame macro="">
      <xdr:nvGraphicFramePr>
        <xdr:cNvPr id="2" name="Grafik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403860</xdr:colOff>
      <xdr:row>0</xdr:row>
      <xdr:rowOff>0</xdr:rowOff>
    </xdr:from>
    <xdr:to>
      <xdr:col>11</xdr:col>
      <xdr:colOff>175260</xdr:colOff>
      <xdr:row>13</xdr:row>
      <xdr:rowOff>91440</xdr:rowOff>
    </xdr:to>
    <xdr:graphicFrame macro="">
      <xdr:nvGraphicFramePr>
        <xdr:cNvPr id="4" name="Grafik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220980</xdr:colOff>
      <xdr:row>13</xdr:row>
      <xdr:rowOff>121920</xdr:rowOff>
    </xdr:from>
    <xdr:to>
      <xdr:col>22</xdr:col>
      <xdr:colOff>411480</xdr:colOff>
      <xdr:row>29</xdr:row>
      <xdr:rowOff>60960</xdr:rowOff>
    </xdr:to>
    <xdr:graphicFrame macro="">
      <xdr:nvGraphicFramePr>
        <xdr:cNvPr id="5" name="Grafik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144780</xdr:rowOff>
    </xdr:from>
    <xdr:to>
      <xdr:col>11</xdr:col>
      <xdr:colOff>190500</xdr:colOff>
      <xdr:row>30</xdr:row>
      <xdr:rowOff>106680</xdr:rowOff>
    </xdr:to>
    <xdr:graphicFrame macro="">
      <xdr:nvGraphicFramePr>
        <xdr:cNvPr id="6" name="Grafik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99060</xdr:rowOff>
    </xdr:from>
    <xdr:to>
      <xdr:col>11</xdr:col>
      <xdr:colOff>190500</xdr:colOff>
      <xdr:row>46</xdr:row>
      <xdr:rowOff>68580</xdr:rowOff>
    </xdr:to>
    <xdr:graphicFrame macro="">
      <xdr:nvGraphicFramePr>
        <xdr:cNvPr id="7" name="Grafik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228600</xdr:colOff>
      <xdr:row>29</xdr:row>
      <xdr:rowOff>99060</xdr:rowOff>
    </xdr:from>
    <xdr:to>
      <xdr:col>22</xdr:col>
      <xdr:colOff>411480</xdr:colOff>
      <xdr:row>46</xdr:row>
      <xdr:rowOff>45720</xdr:rowOff>
    </xdr:to>
    <xdr:graphicFrame macro="">
      <xdr:nvGraphicFramePr>
        <xdr:cNvPr id="8" name="Grafik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46</xdr:row>
      <xdr:rowOff>99060</xdr:rowOff>
    </xdr:from>
    <xdr:to>
      <xdr:col>11</xdr:col>
      <xdr:colOff>190500</xdr:colOff>
      <xdr:row>63</xdr:row>
      <xdr:rowOff>45720</xdr:rowOff>
    </xdr:to>
    <xdr:graphicFrame macro="">
      <xdr:nvGraphicFramePr>
        <xdr:cNvPr id="9" name="Grafik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205740</xdr:colOff>
      <xdr:row>0</xdr:row>
      <xdr:rowOff>0</xdr:rowOff>
    </xdr:from>
    <xdr:to>
      <xdr:col>17</xdr:col>
      <xdr:colOff>518160</xdr:colOff>
      <xdr:row>13</xdr:row>
      <xdr:rowOff>91440</xdr:rowOff>
    </xdr:to>
    <xdr:graphicFrame macro="">
      <xdr:nvGraphicFramePr>
        <xdr:cNvPr id="10" name="Grafik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crosoft Office User" refreshedDate="46239.726111805554" createdVersion="6" refreshedVersion="8" minRefreshableVersion="3" recordCount="1" xr:uid="{00000000-000A-0000-FFFF-FFFF18000000}">
  <cacheSource type="worksheet">
    <worksheetSource name="FirmaParametreleri"/>
  </cacheSource>
  <cacheFields count="4">
    <cacheField name="DegerlendirmeNo" numFmtId="0">
      <sharedItems containsNonDate="0" containsString="0" containsBlank="1" containsNumber="1" containsInteger="1" minValue="1" maxValue="3" count="4">
        <m/>
        <n v="3" u="1"/>
        <n v="2" u="1"/>
        <n v="1" u="1"/>
      </sharedItems>
    </cacheField>
    <cacheField name="Opex Puanı" numFmtId="0">
      <sharedItems containsNonDate="0" containsString="0" containsBlank="1"/>
    </cacheField>
    <cacheField name="OEE" numFmtId="0">
      <sharedItems containsNonDate="0" containsString="0" containsBlank="1"/>
    </cacheField>
    <cacheField name="Lead Tim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crosoft Office User" refreshedDate="46239.7261119213" createdVersion="6" refreshedVersion="8" minRefreshableVersion="3" recordCount="107" xr:uid="{00000000-000A-0000-FFFF-FFFF15000000}">
  <cacheSource type="worksheet">
    <worksheetSource name="RaporTablo"/>
  </cacheSource>
  <cacheFields count="19">
    <cacheField name="Ziyaret Haftası" numFmtId="0">
      <sharedItems containsSemiMixedTypes="0" containsString="0" containsNumber="1" containsInteger="1" minValue="8" maxValue="25"/>
    </cacheField>
    <cacheField name="Çalışma Tarihi" numFmtId="14">
      <sharedItems containsSemiMixedTypes="0" containsNonDate="0" containsDate="1" containsString="0" minDate="2026-02-16T00:00:00" maxDate="2026-06-17T00:00:00"/>
    </cacheField>
    <cacheField name="Faaliyet Konusu" numFmtId="0">
      <sharedItems containsBlank="1" count="22">
        <s v="A3"/>
        <s v="TPM"/>
        <s v="5S"/>
        <s v="SAHA YÖNETİMİ"/>
        <s v="EĞİTİM"/>
        <s v="SMED"/>
        <s v="KAİZEN"/>
        <s v="GÖRSEL YÖNETİM"/>
        <s v="KALİTE"/>
        <s v="OEE"/>
        <s v="STANDART İŞ"/>
        <s v="VSM"/>
        <s v="AKIŞ İYİLEŞTİRME"/>
        <s v="HAT DENGELEME" u="1"/>
        <s v="GÖRSEL YÖNETİM " u="1"/>
        <s v="TPM " u="1"/>
        <s v="KAİZEN " u="1"/>
        <s v="VSM " u="1"/>
        <m u="1"/>
        <s v="HOSHİN" u="1"/>
        <s v="ISG" u="1"/>
        <s v="ÇEKME-KANBAN" u="1"/>
      </sharedItems>
    </cacheField>
    <cacheField name="İyileştirme Konusu" numFmtId="0">
      <sharedItems containsBlank="1" count="13">
        <s v="VERİMLİLİK"/>
        <s v="5S"/>
        <s v="GÜVENLİK"/>
        <s v="MOTİVASYON"/>
        <s v="ÇEVRE"/>
        <s v="KALİTE"/>
        <s v="MALİYET" u="1"/>
        <s v="VERİMLİLİK " u="1"/>
        <s v="MOTİVASYON " u="1"/>
        <s v="GÜVENLİK " u="1"/>
        <m u="1"/>
        <s v="SEVKİYAT " u="1"/>
        <s v="SEVKİYAT" u="1"/>
      </sharedItems>
    </cacheField>
    <cacheField name="Yapılan Çalışmalar / Alınan Kararlar" numFmtId="0">
      <sharedItems longText="1"/>
    </cacheField>
    <cacheField name="Çıktı" numFmtId="0">
      <sharedItems containsBlank="1" count="14">
        <s v="VERİMLİLİK"/>
        <s v="ÜRETKENLİK"/>
        <s v="ZAMAN"/>
        <s v="YETENEK"/>
        <s v="KAZA RİSKİ"/>
        <s v="MOTIVASYON"/>
        <s v="KALİTE"/>
        <s v="STOK"/>
        <s v="MOTIVASYON " u="1"/>
        <m u="1"/>
        <s v="ALAN" u="1"/>
        <s v="İŞ YÜKÜ" u="1"/>
        <s v="HURDA" u="1"/>
        <s v="ENERJİ" u="1"/>
      </sharedItems>
    </cacheField>
    <cacheField name="Sorumlu" numFmtId="0">
      <sharedItems containsBlank="1" count="34">
        <s v="Gözde Tohumci"/>
        <s v="Barış Avcı"/>
        <s v="Kemal Doğan"/>
        <s v="Ersan Sezgin"/>
        <s v="Emre Soylu"/>
        <s v="Gamze Öyekcin"/>
        <s v="Pınar Yılmaz"/>
        <s v="Sanem Dokumacı"/>
        <s v="Sezayi Parlakkılıç"/>
        <s v="Doğukan Topçu"/>
        <s v="Gülçin Başçiftci"/>
        <s v="Derya Gümüşoğlu"/>
        <s v="Uğur Yılmaz"/>
        <s v="Emine Doğru"/>
        <s v="Nurtaç Köse" u="1"/>
        <s v="Süleyman Meraklı" u="1"/>
        <s v="Özlem Parmaksız" u="1"/>
        <m u="1"/>
        <s v="Taha" u="1"/>
        <s v="Ahmet" u="1"/>
        <s v="Atakan" u="1"/>
        <s v="SELÇUK YILDIRIM" u="1"/>
        <s v="FATİH DURSUN" u="1"/>
        <s v="SİNEM ESEN" u="1"/>
        <s v="EMRE ŞEN" u="1"/>
        <s v="OĞUZ EREP" u="1"/>
        <s v="Can Yılmaz" u="1"/>
        <s v="Gemba Partner" u="1"/>
        <s v="Ahmet KOCAMAZ" u="1"/>
        <s v="Atakan ZEHİR" u="1"/>
        <s v="Taha ÇETİNER" u="1"/>
        <s v="Mehmet Ahmet" u="1"/>
        <s v="Güray Yurdakul" u="1"/>
        <s v="Arda Güler" u="1"/>
      </sharedItems>
    </cacheField>
    <cacheField name="Takip" numFmtId="0">
      <sharedItems containsBlank="1" count="5">
        <s v="Açık"/>
        <s v="Kapalı"/>
        <s v="Devam Ediyor"/>
        <m u="1"/>
        <s v="İptal" u="1"/>
      </sharedItems>
    </cacheField>
    <cacheField name="Termin" numFmtId="14">
      <sharedItems containsSemiMixedTypes="0" containsNonDate="0" containsDate="1" containsString="0" minDate="2026-02-16T00:00:00" maxDate="2026-07-21T00:00:00"/>
    </cacheField>
    <cacheField name="Gerçekleşme Tarihi" numFmtId="14">
      <sharedItems containsSemiMixedTypes="0" containsNonDate="0" containsDate="1" containsString="0" minDate="2026-02-16T00:00:00" maxDate="2026-06-17T00:00:00"/>
    </cacheField>
    <cacheField name="Termine Uyum" numFmtId="0">
      <sharedItems containsBlank="1" count="3">
        <s v="ZAMANINDA"/>
        <s v="GECİKME"/>
        <m u="1"/>
      </sharedItems>
    </cacheField>
    <cacheField name="Notlar" numFmtId="0">
      <sharedItems containsBlank="1"/>
    </cacheField>
    <cacheField name="Kazanç Miktarı" numFmtId="0">
      <sharedItems containsNonDate="0" containsString="0" containsBlank="1"/>
    </cacheField>
    <cacheField name="Kazanç Birimi" numFmtId="0">
      <sharedItems containsBlank="1" count="5">
        <s v="₺"/>
        <m u="1"/>
        <s v="TL" u="1"/>
        <s v="$" u="1"/>
        <s v="€" u="1"/>
      </sharedItems>
    </cacheField>
    <cacheField name="Kaizen Kazancı" numFmtId="0">
      <sharedItems containsNonDate="0" containsString="0" containsBlank="1"/>
    </cacheField>
    <cacheField name="Eş Değer Ürün" numFmtId="0">
      <sharedItems containsNonDate="0" containsString="0" containsBlank="1"/>
    </cacheField>
    <cacheField name="Sene" numFmtId="0">
      <sharedItems containsSemiMixedTypes="0" containsString="0" containsNumber="1" containsInteger="1" minValue="1900" maxValue="2026" count="6">
        <n v="2026"/>
        <n v="2025" u="1"/>
        <n v="1900" u="1"/>
        <n v="2022" u="1"/>
        <n v="2023" u="1"/>
        <n v="2024" u="1"/>
      </sharedItems>
    </cacheField>
    <cacheField name="Sıra No" numFmtId="0">
      <sharedItems containsSemiMixedTypes="0" containsString="0" containsNumber="1" containsInteger="1" minValue="1" maxValue="107"/>
    </cacheField>
    <cacheField name="Eslestir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25"/>
    <d v="2026-06-16T00:00:00"/>
    <x v="0"/>
    <x v="0"/>
    <s v="A3 EĞİTİMİNE KATILAN ARKADAŞLAR KENDİ ALANLARINDAN KİŞİ BAŞI EN AZ BİR ADET PROJE KONUSU BELİRLEYECEK"/>
    <x v="0"/>
    <x v="0"/>
    <x v="0"/>
    <d v="2026-06-22T00:00:00"/>
    <d v="2026-06-16T00:00:00"/>
    <x v="0"/>
    <s v="A3"/>
    <m/>
    <x v="0"/>
    <m/>
    <m/>
    <x v="0"/>
    <n v="1"/>
    <s v="202625A3"/>
  </r>
  <r>
    <n v="25"/>
    <d v="2026-06-16T00:00:00"/>
    <x v="1"/>
    <x v="0"/>
    <s v="OPERATÖR MÜDAHALESİNE UYGUN DURUŞLAR İÇİN ARIZA AKIŞ DİAGAMI HAZIRLANACAK"/>
    <x v="0"/>
    <x v="1"/>
    <x v="0"/>
    <d v="2026-06-22T00:00:00"/>
    <d v="2026-06-16T00:00:00"/>
    <x v="0"/>
    <s v="AKIŞ DİAGRAMI"/>
    <m/>
    <x v="0"/>
    <m/>
    <m/>
    <x v="0"/>
    <n v="2"/>
    <s v="202625TPM"/>
  </r>
  <r>
    <n v="25"/>
    <d v="2026-06-16T00:00:00"/>
    <x v="1"/>
    <x v="0"/>
    <s v="ARIZA MÜDAHELE İÇİN TEK NOKTA DERSİ ŞEKLİNDE EĞİTİM DÖKÜMANLARI HAZIRLANACAK"/>
    <x v="0"/>
    <x v="1"/>
    <x v="0"/>
    <d v="2026-06-22T00:00:00"/>
    <d v="2026-06-16T00:00:00"/>
    <x v="0"/>
    <s v="AKIŞ DİAGRAMI"/>
    <m/>
    <x v="0"/>
    <m/>
    <m/>
    <x v="0"/>
    <n v="3"/>
    <s v="202625TPM"/>
  </r>
  <r>
    <n v="25"/>
    <d v="2026-06-16T00:00:00"/>
    <x v="2"/>
    <x v="1"/>
    <s v="26. HAFTAYA KAYAR HATTINDA 5s FAALİYETİ PLANLANACAK"/>
    <x v="1"/>
    <x v="0"/>
    <x v="0"/>
    <d v="2026-06-23T00:00:00"/>
    <d v="2026-06-16T00:00:00"/>
    <x v="0"/>
    <s v="5S"/>
    <m/>
    <x v="0"/>
    <m/>
    <m/>
    <x v="0"/>
    <n v="4"/>
    <s v="2026255S"/>
  </r>
  <r>
    <n v="25"/>
    <d v="2026-06-16T00:00:00"/>
    <x v="3"/>
    <x v="2"/>
    <s v="SAFETY PATROL DEVRİYESİ YAPILDI"/>
    <x v="1"/>
    <x v="0"/>
    <x v="1"/>
    <d v="2026-06-16T00:00:00"/>
    <d v="2026-06-16T00:00:00"/>
    <x v="1"/>
    <m/>
    <m/>
    <x v="0"/>
    <m/>
    <m/>
    <x v="0"/>
    <n v="5"/>
    <s v="202625SAHA YÖNETİMİ"/>
  </r>
  <r>
    <n v="25"/>
    <d v="2026-06-15T00:00:00"/>
    <x v="4"/>
    <x v="0"/>
    <s v="A3 EĞİTİMİ YAPILDI"/>
    <x v="0"/>
    <x v="2"/>
    <x v="1"/>
    <d v="2026-06-15T00:00:00"/>
    <d v="2026-06-15T00:00:00"/>
    <x v="0"/>
    <s v="A3"/>
    <m/>
    <x v="0"/>
    <m/>
    <m/>
    <x v="0"/>
    <n v="6"/>
    <s v="202625EĞİTİM"/>
  </r>
  <r>
    <n v="24"/>
    <d v="2026-06-09T00:00:00"/>
    <x v="5"/>
    <x v="0"/>
    <s v="2. İŞ ADIMI İşlem sırasında takım çantası yanında taşınacak"/>
    <x v="2"/>
    <x v="3"/>
    <x v="0"/>
    <d v="2026-06-19T00:00:00"/>
    <d v="2026-06-09T00:00:00"/>
    <x v="0"/>
    <s v="PNSZ 07 SMED"/>
    <m/>
    <x v="0"/>
    <m/>
    <m/>
    <x v="0"/>
    <n v="7"/>
    <s v="202624SMED"/>
  </r>
  <r>
    <n v="24"/>
    <d v="2026-06-09T00:00:00"/>
    <x v="5"/>
    <x v="0"/>
    <s v="6. İŞ ADIMI Tekrar kullanılmayacak takım vb ürünlerin temizliği setup bittikten sonra yapılacak"/>
    <x v="2"/>
    <x v="3"/>
    <x v="0"/>
    <d v="2026-06-19T00:00:00"/>
    <d v="2026-06-09T00:00:00"/>
    <x v="0"/>
    <s v="PNSZ 07 SMED"/>
    <m/>
    <x v="0"/>
    <m/>
    <m/>
    <x v="0"/>
    <n v="8"/>
    <s v="202624SMED"/>
  </r>
  <r>
    <n v="24"/>
    <d v="2026-06-09T00:00:00"/>
    <x v="5"/>
    <x v="0"/>
    <s v="7. İŞ ADIMI Kirlilik sebebi basınçlı hava temizlenecek."/>
    <x v="2"/>
    <x v="3"/>
    <x v="0"/>
    <d v="2026-06-24T00:00:00"/>
    <d v="2026-06-09T00:00:00"/>
    <x v="0"/>
    <s v="PNSZ 07 SMED"/>
    <m/>
    <x v="0"/>
    <m/>
    <m/>
    <x v="0"/>
    <n v="9"/>
    <s v="202624SMED"/>
  </r>
  <r>
    <n v="24"/>
    <d v="2026-06-09T00:00:00"/>
    <x v="5"/>
    <x v="0"/>
    <s v="12. İŞ ADIMI İş standartı oluşturulurken bu işlem eklenmeyecek."/>
    <x v="2"/>
    <x v="3"/>
    <x v="0"/>
    <d v="2026-06-25T00:00:00"/>
    <d v="2026-06-09T00:00:00"/>
    <x v="0"/>
    <s v="PNSZ 07 SMED"/>
    <m/>
    <x v="0"/>
    <m/>
    <m/>
    <x v="0"/>
    <n v="10"/>
    <s v="202624SMED"/>
  </r>
  <r>
    <n v="24"/>
    <d v="2026-06-09T00:00:00"/>
    <x v="5"/>
    <x v="0"/>
    <s v="13. İŞ ADIMI İş standartı oluşturulurken bu işlem eklenmeyecek."/>
    <x v="2"/>
    <x v="4"/>
    <x v="0"/>
    <d v="2026-06-26T00:00:00"/>
    <d v="2026-06-09T00:00:00"/>
    <x v="0"/>
    <s v="PNSZ 07 SMED"/>
    <m/>
    <x v="0"/>
    <m/>
    <m/>
    <x v="0"/>
    <n v="11"/>
    <s v="202624SMED"/>
  </r>
  <r>
    <n v="24"/>
    <d v="2026-06-09T00:00:00"/>
    <x v="5"/>
    <x v="0"/>
    <s v="14. İŞ ADIMI Arkadan yükleme yapılan tezgahlarda hava kanalı T ile ikiye ayrılacak ve tezgahın ön ve arka kısmına hava tabancası eklenecek."/>
    <x v="2"/>
    <x v="4"/>
    <x v="0"/>
    <d v="2026-07-20T00:00:00"/>
    <d v="2026-06-09T00:00:00"/>
    <x v="0"/>
    <s v="PNSZ 07 SMED"/>
    <m/>
    <x v="0"/>
    <m/>
    <m/>
    <x v="0"/>
    <n v="12"/>
    <s v="202624SMED"/>
  </r>
  <r>
    <n v="24"/>
    <d v="2026-06-09T00:00:00"/>
    <x v="5"/>
    <x v="0"/>
    <s v="16. İŞ ADIMI Dayama civataları sökülüp dayama yatakdan çıkartıldıktan sonra hemen yeni dayama takılması için yatak temizligi yapılacak."/>
    <x v="2"/>
    <x v="4"/>
    <x v="0"/>
    <d v="2026-06-19T00:00:00"/>
    <d v="2026-06-09T00:00:00"/>
    <x v="0"/>
    <s v="PNSZ 07 SMED"/>
    <m/>
    <x v="0"/>
    <m/>
    <m/>
    <x v="0"/>
    <n v="13"/>
    <s v="202624SMED"/>
  </r>
  <r>
    <n v="24"/>
    <d v="2026-06-09T00:00:00"/>
    <x v="5"/>
    <x v="0"/>
    <s v="18. İŞ ADIMI 16. Adımdaki işlem yapılacak."/>
    <x v="2"/>
    <x v="4"/>
    <x v="0"/>
    <d v="2026-06-24T00:00:00"/>
    <d v="2026-06-09T00:00:00"/>
    <x v="0"/>
    <s v="PNSZ 07 SMED"/>
    <m/>
    <x v="0"/>
    <m/>
    <m/>
    <x v="0"/>
    <n v="14"/>
    <s v="202624SMED"/>
  </r>
  <r>
    <n v="24"/>
    <d v="2026-06-09T00:00:00"/>
    <x v="5"/>
    <x v="0"/>
    <s v="27. İŞ ADIMI Setup başlamadan önce kullanılacak ara kagıtlar tezgahın yanına getirilecek."/>
    <x v="2"/>
    <x v="4"/>
    <x v="0"/>
    <d v="2026-06-25T00:00:00"/>
    <d v="2026-06-09T00:00:00"/>
    <x v="0"/>
    <s v="PNSZ 07 SMED"/>
    <m/>
    <x v="0"/>
    <m/>
    <m/>
    <x v="0"/>
    <n v="15"/>
    <s v="202624SMED"/>
  </r>
  <r>
    <n v="24"/>
    <d v="2026-06-09T00:00:00"/>
    <x v="5"/>
    <x v="0"/>
    <s v="34, 35, 36, 37. İŞ ADIMI Referans bazlı ara flans tasarımı ve üretimi yapılacak yapılan üretimden sonra ürünlerin temas yüzeyi olmayan kısımlarına referans numarası delık çapı ve boy bilgileri lazer ile işlenecek."/>
    <x v="2"/>
    <x v="4"/>
    <x v="0"/>
    <d v="2026-06-17T00:00:00"/>
    <d v="2026-06-09T00:00:00"/>
    <x v="1"/>
    <s v="PNSZ 07 SMED"/>
    <m/>
    <x v="0"/>
    <m/>
    <m/>
    <x v="0"/>
    <n v="16"/>
    <s v="202624SMED"/>
  </r>
  <r>
    <n v="24"/>
    <d v="2026-06-09T00:00:00"/>
    <x v="5"/>
    <x v="0"/>
    <s v="39, 40. İŞ ADIMI Taş sökme ve takma eğitimi verilecek."/>
    <x v="2"/>
    <x v="3"/>
    <x v="0"/>
    <d v="2026-06-18T00:00:00"/>
    <d v="2026-06-09T00:00:00"/>
    <x v="0"/>
    <s v="PNSZ 07 SMED"/>
    <m/>
    <x v="0"/>
    <m/>
    <m/>
    <x v="0"/>
    <n v="17"/>
    <s v="202624SMED"/>
  </r>
  <r>
    <n v="24"/>
    <d v="2026-06-09T00:00:00"/>
    <x v="5"/>
    <x v="0"/>
    <s v="63. İŞ ADIMI Su tavasının menteşeli sisteme geçirilmesi."/>
    <x v="2"/>
    <x v="1"/>
    <x v="0"/>
    <d v="2026-06-30T00:00:00"/>
    <d v="2026-06-09T00:00:00"/>
    <x v="0"/>
    <s v="PNSZ 07 SMED"/>
    <m/>
    <x v="0"/>
    <m/>
    <m/>
    <x v="0"/>
    <n v="18"/>
    <s v="202624SMED"/>
  </r>
  <r>
    <n v="24"/>
    <d v="2026-06-09T00:00:00"/>
    <x v="5"/>
    <x v="0"/>
    <s v="70. İŞ ADIMI Mevcut sistemin yerine servo sisteme geçilmesi."/>
    <x v="2"/>
    <x v="1"/>
    <x v="0"/>
    <d v="2026-06-30T00:00:00"/>
    <d v="2026-06-09T00:00:00"/>
    <x v="0"/>
    <s v="PNSZ 07 SMED"/>
    <m/>
    <x v="0"/>
    <m/>
    <m/>
    <x v="0"/>
    <n v="19"/>
    <s v="202624SMED"/>
  </r>
  <r>
    <n v="24"/>
    <d v="2026-06-09T00:00:00"/>
    <x v="5"/>
    <x v="0"/>
    <s v="71. İŞ ADIMI Balans alma eğitimi verilecek."/>
    <x v="2"/>
    <x v="3"/>
    <x v="0"/>
    <d v="2026-06-29T00:00:00"/>
    <d v="2026-06-09T00:00:00"/>
    <x v="0"/>
    <s v="PNSZ 07 SMED"/>
    <m/>
    <x v="0"/>
    <m/>
    <m/>
    <x v="0"/>
    <n v="20"/>
    <s v="202624SMED"/>
  </r>
  <r>
    <n v="24"/>
    <d v="2026-06-09T00:00:00"/>
    <x v="5"/>
    <x v="0"/>
    <s v="77. İŞ ADIMI Bakım ekibi kontrol saglayacak."/>
    <x v="2"/>
    <x v="1"/>
    <x v="0"/>
    <d v="2026-06-30T00:00:00"/>
    <d v="2026-06-09T00:00:00"/>
    <x v="0"/>
    <s v="PNSZ 07 SMED"/>
    <m/>
    <x v="0"/>
    <m/>
    <m/>
    <x v="0"/>
    <n v="21"/>
    <s v="202624SMED"/>
  </r>
  <r>
    <n v="24"/>
    <d v="2026-06-09T00:00:00"/>
    <x v="5"/>
    <x v="0"/>
    <s v="82. İŞ ADIMI Paperwork sisteminin telefon,tablet vb elde taşınabilir ekipmanlardan erişim sağlanması."/>
    <x v="2"/>
    <x v="3"/>
    <x v="0"/>
    <d v="2026-06-29T00:00:00"/>
    <d v="2026-06-09T00:00:00"/>
    <x v="0"/>
    <s v="PNSZ 07 SMED"/>
    <m/>
    <x v="0"/>
    <m/>
    <m/>
    <x v="0"/>
    <n v="22"/>
    <s v="202624SMED"/>
  </r>
  <r>
    <n v="24"/>
    <d v="2026-06-09T00:00:00"/>
    <x v="6"/>
    <x v="0"/>
    <s v="KAİZEN EĞİTİMLERİ YAPILDI"/>
    <x v="3"/>
    <x v="2"/>
    <x v="1"/>
    <d v="2026-06-09T00:00:00"/>
    <d v="2026-06-09T00:00:00"/>
    <x v="1"/>
    <s v="KAİZEN EĞİTİM"/>
    <m/>
    <x v="0"/>
    <m/>
    <m/>
    <x v="0"/>
    <n v="23"/>
    <s v="202624KAİZEN"/>
  </r>
  <r>
    <n v="23"/>
    <d v="2026-06-02T00:00:00"/>
    <x v="3"/>
    <x v="2"/>
    <s v="SAFETY LİDER UYGULAMASI START VERİLECEK."/>
    <x v="4"/>
    <x v="5"/>
    <x v="0"/>
    <d v="2026-06-09T00:00:00"/>
    <d v="2026-06-02T00:00:00"/>
    <x v="1"/>
    <s v="SAFETY"/>
    <m/>
    <x v="0"/>
    <m/>
    <m/>
    <x v="0"/>
    <n v="24"/>
    <s v="202623SAHA YÖNETİMİ"/>
  </r>
  <r>
    <n v="23"/>
    <d v="2026-06-02T00:00:00"/>
    <x v="4"/>
    <x v="0"/>
    <s v="OPERATÖR VE SAHA LİDERLERİNE KAİZEN EĞİTİMİ PLANLANACAK"/>
    <x v="1"/>
    <x v="5"/>
    <x v="0"/>
    <d v="2026-06-09T00:00:00"/>
    <d v="2026-06-02T00:00:00"/>
    <x v="1"/>
    <s v="EĞİTİM"/>
    <m/>
    <x v="0"/>
    <m/>
    <m/>
    <x v="0"/>
    <n v="25"/>
    <s v="202623EĞİTİM"/>
  </r>
  <r>
    <n v="23"/>
    <d v="2026-06-02T00:00:00"/>
    <x v="4"/>
    <x v="0"/>
    <s v="BEYAZ YAKA A3 EĞİTİMİ PLANLANACAK"/>
    <x v="0"/>
    <x v="5"/>
    <x v="0"/>
    <d v="2026-06-09T00:00:00"/>
    <d v="2026-06-02T00:00:00"/>
    <x v="1"/>
    <s v="EĞİTİM"/>
    <m/>
    <x v="0"/>
    <m/>
    <m/>
    <x v="0"/>
    <n v="26"/>
    <s v="202623EĞİTİM"/>
  </r>
  <r>
    <n v="23"/>
    <d v="2026-06-02T00:00:00"/>
    <x v="5"/>
    <x v="0"/>
    <s v="PNSZ 7 SMED ANALİZİ YAPILDI, KARŞI ÖNLEMLER DANDORİ FORMATINA İŞLENECEK"/>
    <x v="2"/>
    <x v="4"/>
    <x v="0"/>
    <d v="2026-06-08T00:00:00"/>
    <d v="2026-06-02T00:00:00"/>
    <x v="1"/>
    <s v="SMED"/>
    <m/>
    <x v="0"/>
    <m/>
    <m/>
    <x v="0"/>
    <n v="27"/>
    <s v="202623SMED"/>
  </r>
  <r>
    <n v="23"/>
    <d v="2026-06-02T00:00:00"/>
    <x v="7"/>
    <x v="3"/>
    <s v="ASAKAİ PANOSU BAŞLIK SAÇI PANOYA MONTE EDİLECEK"/>
    <x v="5"/>
    <x v="1"/>
    <x v="0"/>
    <d v="2026-06-08T00:00:00"/>
    <d v="2026-06-02T00:00:00"/>
    <x v="1"/>
    <s v="ASAKAİ PANO"/>
    <m/>
    <x v="0"/>
    <m/>
    <m/>
    <x v="0"/>
    <n v="28"/>
    <s v="202623GÖRSEL YÖNETİM"/>
  </r>
  <r>
    <n v="21"/>
    <d v="2026-05-18T00:00:00"/>
    <x v="3"/>
    <x v="0"/>
    <s v="AKSİYONLAR İZLENDİ"/>
    <x v="1"/>
    <x v="2"/>
    <x v="1"/>
    <d v="2026-05-18T00:00:00"/>
    <d v="2026-05-18T00:00:00"/>
    <x v="0"/>
    <s v="AKSİYON TAKİP"/>
    <m/>
    <x v="0"/>
    <m/>
    <m/>
    <x v="0"/>
    <n v="29"/>
    <s v="202621SAHA YÖNETİMİ"/>
  </r>
  <r>
    <n v="20"/>
    <d v="2026-05-12T00:00:00"/>
    <x v="3"/>
    <x v="4"/>
    <s v="MAZSAN LAYOUT ÜZERİNDEN BAL PETEĞİ HÜCRE HARİTASI ÇIKARILACAK"/>
    <x v="1"/>
    <x v="5"/>
    <x v="0"/>
    <d v="2026-05-18T00:00:00"/>
    <d v="2026-05-12T00:00:00"/>
    <x v="1"/>
    <s v="BAL PETEĞİ"/>
    <m/>
    <x v="0"/>
    <m/>
    <m/>
    <x v="0"/>
    <n v="30"/>
    <s v="202620SAHA YÖNETİMİ"/>
  </r>
  <r>
    <n v="20"/>
    <d v="2026-05-12T00:00:00"/>
    <x v="3"/>
    <x v="4"/>
    <s v="BAL PETEĞİ HÜCRE HARİTASINA SORUMLU PERSONEL ATAMASI YAPILACAK"/>
    <x v="1"/>
    <x v="3"/>
    <x v="0"/>
    <d v="2026-05-18T00:00:00"/>
    <d v="2026-05-12T00:00:00"/>
    <x v="1"/>
    <s v="BAL PETEĞİ"/>
    <m/>
    <x v="0"/>
    <m/>
    <m/>
    <x v="0"/>
    <n v="31"/>
    <s v="202620SAHA YÖNETİMİ"/>
  </r>
  <r>
    <n v="20"/>
    <d v="2026-05-12T00:00:00"/>
    <x v="8"/>
    <x v="5"/>
    <s v="BSH TM 6970 FREZE İZ FRZ 12 FİKSTÜR TABLASI KAMA 13.90 KANAL GENİŞLİĞİ 14 0,1 BOŞLUK DÜZELTİLECEK."/>
    <x v="6"/>
    <x v="4"/>
    <x v="0"/>
    <d v="2026-05-18T00:00:00"/>
    <d v="2026-05-12T00:00:00"/>
    <x v="1"/>
    <s v="FRZ 12"/>
    <m/>
    <x v="0"/>
    <m/>
    <m/>
    <x v="0"/>
    <n v="32"/>
    <s v="202620KALİTE"/>
  </r>
  <r>
    <n v="20"/>
    <d v="2026-05-12T00:00:00"/>
    <x v="8"/>
    <x v="5"/>
    <s v="BSH TM 6970 FREZE İZ OPERATÖR KONTROL TALİMAT REVİZE EDİLECEK"/>
    <x v="6"/>
    <x v="6"/>
    <x v="0"/>
    <d v="2026-05-18T00:00:00"/>
    <d v="2026-05-12T00:00:00"/>
    <x v="1"/>
    <s v="KONTROL TALİMATI"/>
    <m/>
    <x v="0"/>
    <m/>
    <m/>
    <x v="0"/>
    <n v="33"/>
    <s v="202620KALİTE"/>
  </r>
  <r>
    <n v="20"/>
    <d v="2026-05-12T00:00:00"/>
    <x v="8"/>
    <x v="5"/>
    <s v="BSH TM 6970 FREZE İZ KKP REVİZE EDİLECEK"/>
    <x v="6"/>
    <x v="6"/>
    <x v="0"/>
    <d v="2026-05-18T00:00:00"/>
    <d v="2026-05-12T00:00:00"/>
    <x v="1"/>
    <s v="KKP"/>
    <m/>
    <x v="0"/>
    <m/>
    <m/>
    <x v="0"/>
    <n v="34"/>
    <s v="202620KALİTE"/>
  </r>
  <r>
    <n v="20"/>
    <d v="2026-05-12T00:00:00"/>
    <x v="8"/>
    <x v="5"/>
    <s v="BSH TM 6970 FREZE İZ SON KONTROL STANDARTI REVİZE EDİLECEK"/>
    <x v="6"/>
    <x v="6"/>
    <x v="0"/>
    <d v="2026-05-18T00:00:00"/>
    <d v="2026-05-12T00:00:00"/>
    <x v="1"/>
    <s v="SON KONTROL"/>
    <m/>
    <x v="0"/>
    <m/>
    <m/>
    <x v="0"/>
    <n v="35"/>
    <s v="202620KALİTE"/>
  </r>
  <r>
    <n v="20"/>
    <d v="2026-05-12T00:00:00"/>
    <x v="8"/>
    <x v="5"/>
    <s v="BSH TM 6970 FREZE İZ TND"/>
    <x v="6"/>
    <x v="3"/>
    <x v="0"/>
    <d v="2026-05-18T00:00:00"/>
    <d v="2026-05-12T00:00:00"/>
    <x v="1"/>
    <s v="TND"/>
    <m/>
    <x v="0"/>
    <m/>
    <m/>
    <x v="0"/>
    <n v="36"/>
    <s v="202620KALİTE"/>
  </r>
  <r>
    <n v="20"/>
    <d v="2026-05-12T00:00:00"/>
    <x v="8"/>
    <x v="5"/>
    <s v="BSH TM 6970 FREZE İZ DİĞER FREZELERİN KAMA KANAL ÖLÇÜLERİNİN KONTROLÜ VE GEREKİYORSA REVİZYON YAPILMASI"/>
    <x v="6"/>
    <x v="4"/>
    <x v="0"/>
    <d v="2026-06-29T00:00:00"/>
    <d v="2026-05-12T00:00:00"/>
    <x v="0"/>
    <s v="FREZE FİKSTÜR KAMA KANAL ARALIĞI"/>
    <m/>
    <x v="0"/>
    <m/>
    <m/>
    <x v="0"/>
    <n v="37"/>
    <s v="202620KALİTE"/>
  </r>
  <r>
    <n v="18"/>
    <d v="2026-04-28T00:00:00"/>
    <x v="9"/>
    <x v="0"/>
    <s v="ÜRETİM GÜNLÜK ÜRETİM RAKAMLARINI PLANLAMAYLA PAYLAŞACAK"/>
    <x v="0"/>
    <x v="4"/>
    <x v="1"/>
    <d v="2026-05-05T00:00:00"/>
    <d v="2026-04-28T00:00:00"/>
    <x v="1"/>
    <s v="PLANLAMA ÜRETİM VERİ FARKI"/>
    <m/>
    <x v="0"/>
    <m/>
    <m/>
    <x v="0"/>
    <n v="38"/>
    <s v="202618OEE"/>
  </r>
  <r>
    <n v="18"/>
    <d v="2026-04-28T00:00:00"/>
    <x v="9"/>
    <x v="0"/>
    <s v="GÜN/VARDİYA BAZLI ÜRETİM PLANI AÇILACAK"/>
    <x v="0"/>
    <x v="7"/>
    <x v="1"/>
    <d v="2026-05-05T00:00:00"/>
    <d v="2026-04-28T00:00:00"/>
    <x v="1"/>
    <s v="PLANLAMA ÜRETİM VERİ FARKI"/>
    <m/>
    <x v="0"/>
    <m/>
    <m/>
    <x v="0"/>
    <n v="39"/>
    <s v="202618OEE"/>
  </r>
  <r>
    <n v="18"/>
    <d v="2026-04-28T00:00:00"/>
    <x v="9"/>
    <x v="0"/>
    <s v="ÖNCE ÇOK KOŞAN ÜRÜNLERDEN BAŞLAYARAK CT SÜRELERİ PLANLAMAYLA PAYLAŞILACAK"/>
    <x v="0"/>
    <x v="4"/>
    <x v="2"/>
    <d v="2026-05-12T00:00:00"/>
    <d v="2026-04-28T00:00:00"/>
    <x v="1"/>
    <s v="PLANLAMA ÜRETİM VERİ FARKI"/>
    <m/>
    <x v="0"/>
    <m/>
    <m/>
    <x v="0"/>
    <n v="40"/>
    <s v="202618OEE"/>
  </r>
  <r>
    <n v="18"/>
    <d v="2026-04-28T00:00:00"/>
    <x v="7"/>
    <x v="0"/>
    <s v="PFUS PERFORMANS TAKİBİ BAŞLATILACAK (ASAKAİ)"/>
    <x v="0"/>
    <x v="0"/>
    <x v="1"/>
    <d v="2026-05-05T00:00:00"/>
    <d v="2026-04-28T00:00:00"/>
    <x v="1"/>
    <m/>
    <m/>
    <x v="0"/>
    <m/>
    <m/>
    <x v="0"/>
    <n v="41"/>
    <s v="202618GÖRSEL YÖNETİM"/>
  </r>
  <r>
    <n v="18"/>
    <d v="2026-04-27T00:00:00"/>
    <x v="8"/>
    <x v="5"/>
    <s v="TCNC DURUŞ SONRASI ISITMA PROGRAMI TASARIMI"/>
    <x v="6"/>
    <x v="4"/>
    <x v="0"/>
    <d v="2026-05-12T00:00:00"/>
    <d v="2026-04-27T00:00:00"/>
    <x v="1"/>
    <s v="ÇAP BÜYÜK HATASI"/>
    <m/>
    <x v="0"/>
    <m/>
    <m/>
    <x v="0"/>
    <n v="42"/>
    <s v="202618KALİTE"/>
  </r>
  <r>
    <n v="18"/>
    <d v="2026-04-27T00:00:00"/>
    <x v="8"/>
    <x v="5"/>
    <s v="OTOMATİK OFSET TCNC"/>
    <x v="6"/>
    <x v="4"/>
    <x v="0"/>
    <d v="2026-05-12T00:00:00"/>
    <d v="2026-04-27T00:00:00"/>
    <x v="1"/>
    <s v="ÇAP BÜYÜK HATASI"/>
    <m/>
    <x v="0"/>
    <m/>
    <m/>
    <x v="0"/>
    <n v="43"/>
    <s v="202618KALİTE"/>
  </r>
  <r>
    <n v="18"/>
    <d v="2026-04-27T00:00:00"/>
    <x v="8"/>
    <x v="5"/>
    <s v="TEZGAH BAŞINDAN AYRILMALARDA NOMİNALE ALINMA"/>
    <x v="6"/>
    <x v="4"/>
    <x v="0"/>
    <d v="2026-05-12T00:00:00"/>
    <d v="2026-04-27T00:00:00"/>
    <x v="1"/>
    <s v="ÇAP BÜYÜK HATASI"/>
    <m/>
    <x v="0"/>
    <m/>
    <m/>
    <x v="0"/>
    <n v="44"/>
    <s v="202618KALİTE"/>
  </r>
  <r>
    <n v="18"/>
    <d v="2026-04-27T00:00:00"/>
    <x v="10"/>
    <x v="5"/>
    <s v="TCNC İŞ STD. OLUŞTURMA"/>
    <x v="6"/>
    <x v="4"/>
    <x v="0"/>
    <d v="2026-05-05T00:00:00"/>
    <d v="2026-04-27T00:00:00"/>
    <x v="1"/>
    <s v="ÇAP BÜYÜK HATASI"/>
    <m/>
    <x v="0"/>
    <m/>
    <m/>
    <x v="0"/>
    <n v="45"/>
    <s v="202618STANDART İŞ"/>
  </r>
  <r>
    <n v="18"/>
    <d v="2026-04-27T00:00:00"/>
    <x v="10"/>
    <x v="5"/>
    <s v="TCNC ZAMAN ETÜDÜ"/>
    <x v="6"/>
    <x v="4"/>
    <x v="0"/>
    <d v="2026-05-05T00:00:00"/>
    <d v="2026-04-27T00:00:00"/>
    <x v="1"/>
    <s v="ÇAP BÜYÜK HATASI"/>
    <m/>
    <x v="0"/>
    <m/>
    <m/>
    <x v="0"/>
    <n v="46"/>
    <s v="202618STANDART İŞ"/>
  </r>
  <r>
    <n v="18"/>
    <d v="2026-04-27T00:00:00"/>
    <x v="8"/>
    <x v="5"/>
    <s v="FARKLI MODEL TCNC LERDE MİN. MAX. OVALLİK ÇALIŞMASI"/>
    <x v="6"/>
    <x v="6"/>
    <x v="0"/>
    <d v="2026-05-05T00:00:00"/>
    <d v="2026-04-27T00:00:00"/>
    <x v="1"/>
    <s v="ÇAP BÜYÜK HATASI"/>
    <m/>
    <x v="0"/>
    <m/>
    <m/>
    <x v="0"/>
    <n v="47"/>
    <s v="202618KALİTE"/>
  </r>
  <r>
    <n v="18"/>
    <d v="2026-04-27T00:00:00"/>
    <x v="8"/>
    <x v="5"/>
    <s v="HAVALI GUAGE TASARIMI"/>
    <x v="6"/>
    <x v="8"/>
    <x v="0"/>
    <d v="2026-05-05T00:00:00"/>
    <d v="2026-04-27T00:00:00"/>
    <x v="1"/>
    <s v="ÇAP BÜYÜK HATASI"/>
    <m/>
    <x v="0"/>
    <m/>
    <m/>
    <x v="0"/>
    <n v="48"/>
    <s v="202618KALİTE"/>
  </r>
  <r>
    <n v="17"/>
    <d v="2026-04-21T00:00:00"/>
    <x v="8"/>
    <x v="5"/>
    <s v="A00154403 NUMARALI REFERANS DA PAS PROBLEMİ İÇİN KALICI KARŞI ÖNLEM ALINANA KADAR SON KONTROL GİRİŞİNDEKİ FKK ALANINDA FİFO TAKİBİ YAPILACAK."/>
    <x v="6"/>
    <x v="7"/>
    <x v="1"/>
    <d v="2026-04-22T00:00:00"/>
    <d v="2026-04-21T00:00:00"/>
    <x v="1"/>
    <s v="FİFO KONTROL"/>
    <m/>
    <x v="0"/>
    <m/>
    <m/>
    <x v="0"/>
    <n v="49"/>
    <s v="202617KALİTE"/>
  </r>
  <r>
    <n v="17"/>
    <d v="2026-04-21T00:00:00"/>
    <x v="8"/>
    <x v="5"/>
    <s v="A00154403 NUMARALI REFERANS DA PAS PROBLEMİ İÇİNOVALAMA YAGI SONRASI ÜRÜN TAKP"/>
    <x v="6"/>
    <x v="9"/>
    <x v="2"/>
    <d v="2026-05-11T00:00:00"/>
    <d v="2026-04-21T00:00:00"/>
    <x v="1"/>
    <s v="OVALAMA YAĞI"/>
    <m/>
    <x v="0"/>
    <m/>
    <m/>
    <x v="0"/>
    <n v="50"/>
    <s v="202617KALİTE"/>
  </r>
  <r>
    <n v="17"/>
    <d v="2026-04-21T00:00:00"/>
    <x v="8"/>
    <x v="5"/>
    <s v="BLİSTER PNSZ ÜRETİM HATTI DENEMESİ"/>
    <x v="6"/>
    <x v="9"/>
    <x v="2"/>
    <d v="2026-04-27T00:00:00"/>
    <d v="2026-04-21T00:00:00"/>
    <x v="1"/>
    <s v="BLİSTER DENEME"/>
    <m/>
    <x v="0"/>
    <m/>
    <m/>
    <x v="0"/>
    <n v="51"/>
    <s v="202617KALİTE"/>
  </r>
  <r>
    <n v="17"/>
    <d v="2026-04-21T00:00:00"/>
    <x v="8"/>
    <x v="5"/>
    <s v="FREZE BOR YAĞ STD. KONTROLÜ"/>
    <x v="6"/>
    <x v="9"/>
    <x v="2"/>
    <d v="2026-04-27T00:00:00"/>
    <d v="2026-04-21T00:00:00"/>
    <x v="1"/>
    <s v="FREZE BOR YAĞ"/>
    <m/>
    <x v="0"/>
    <m/>
    <m/>
    <x v="0"/>
    <n v="52"/>
    <s v="202617KALİTE"/>
  </r>
  <r>
    <n v="17"/>
    <d v="2026-04-21T00:00:00"/>
    <x v="8"/>
    <x v="5"/>
    <s v="FRZ, TCNCBOR YAĞ ORANLARI KONTROLÜ"/>
    <x v="6"/>
    <x v="9"/>
    <x v="2"/>
    <d v="2026-04-27T00:00:00"/>
    <d v="2026-04-21T00:00:00"/>
    <x v="1"/>
    <s v="YAĞ ORANI KONTROL"/>
    <m/>
    <x v="0"/>
    <m/>
    <m/>
    <x v="0"/>
    <n v="53"/>
    <s v="202617KALİTE"/>
  </r>
  <r>
    <n v="17"/>
    <d v="2026-04-20T00:00:00"/>
    <x v="8"/>
    <x v="5"/>
    <s v="A00154403 NUMARALI REFERANS DA PAS PROBLEMİ İÇİN SON KONTROL PAS PROBLEMİ OLAN KASALARIN KART BİLGİSİ VE HATA ORANI PROBLEM TAKİP EKİBİYLE PAYLAŞACAK.21,22,,24 NİSAN VERİLERİ PAYLAŞILACAK."/>
    <x v="6"/>
    <x v="7"/>
    <x v="1"/>
    <d v="2026-04-24T00:00:00"/>
    <d v="2026-04-20T00:00:00"/>
    <x v="1"/>
    <s v="VERİ PAYLAŞIMI"/>
    <m/>
    <x v="0"/>
    <m/>
    <m/>
    <x v="0"/>
    <n v="54"/>
    <s v="202617KALİTE"/>
  </r>
  <r>
    <n v="17"/>
    <d v="2026-04-20T00:00:00"/>
    <x v="8"/>
    <x v="5"/>
    <s v="A00154403 NUMARALI REFERANS DA PAS PROBLEMİ İÇİN TEDARİKÇİDEN GELEN ÜRETİM KASALARININ TEMİZLİK KONTROLU YAPILARAK ÜRETİME VERİLECEK. ( İÇİNDE SU, DÖKÜM TOXU, YABANCI MALZEME VS.) KONTROL STANDARTLARI OLUŞTURULUP İLGİLİ PERSONELE GÖREVLENDİRME YAPILACAK"/>
    <x v="6"/>
    <x v="7"/>
    <x v="1"/>
    <d v="2026-04-24T00:00:00"/>
    <d v="2026-04-20T00:00:00"/>
    <x v="1"/>
    <s v="KASA KONTROL"/>
    <m/>
    <x v="0"/>
    <m/>
    <m/>
    <x v="0"/>
    <n v="55"/>
    <s v="202617KALİTE"/>
  </r>
  <r>
    <n v="17"/>
    <d v="2026-04-20T00:00:00"/>
    <x v="8"/>
    <x v="5"/>
    <s v="ÜRETİM PERSONELİ KULLANIM ÖNCESİ KASA İÇİNİ KONTROL EDECEK VE KİRLİLİK ORANLARI HAKKINDA VARDİYA AMİRİNE BİLGİ VERECEK."/>
    <x v="6"/>
    <x v="9"/>
    <x v="0"/>
    <d v="2026-04-24T00:00:00"/>
    <d v="2026-04-20T00:00:00"/>
    <x v="1"/>
    <s v="PAS PROBLEMİ KASA KONTROL"/>
    <m/>
    <x v="0"/>
    <m/>
    <m/>
    <x v="0"/>
    <n v="56"/>
    <s v="202617KALİTE"/>
  </r>
  <r>
    <n v="17"/>
    <d v="2026-04-20T00:00:00"/>
    <x v="2"/>
    <x v="1"/>
    <s v="MAZSAN BAL PETEĞİ HÜCRE HARITASI ÇIKARILACAK...KİŞİ BAZLI ALAN ATAMALARI YAPILACAK."/>
    <x v="0"/>
    <x v="5"/>
    <x v="0"/>
    <d v="2026-04-30T00:00:00"/>
    <d v="2026-04-20T00:00:00"/>
    <x v="1"/>
    <s v="SAFETY 5S"/>
    <m/>
    <x v="0"/>
    <m/>
    <m/>
    <x v="0"/>
    <n v="57"/>
    <s v="2026175S"/>
  </r>
  <r>
    <n v="16"/>
    <d v="2026-04-14T00:00:00"/>
    <x v="2"/>
    <x v="2"/>
    <s v="SAFETY PATROL &amp; 5S DEVRİYE UYGULAMASINDA TESPİT EDİLEN TOPLAMDA 320 İYİLEŞTİRME MADDESİ İÇİN A0 FORMATINDA KESHİKOMİ LİSTESİ OLUŞTURULACAK.( İYİLEŞTİRME TAKİP SAYFASI) PROBLEM KİMİN, KARŞI ÖNLEM NEDİR KİM NEYİ NEZAMANA KADAR ÇÖZECEK BU TAKİP LİSTESİNDEN İLERLEME TAKİP EDİLECEK."/>
    <x v="0"/>
    <x v="5"/>
    <x v="0"/>
    <d v="2026-04-21T00:00:00"/>
    <d v="2026-04-14T00:00:00"/>
    <x v="1"/>
    <s v="SAFETY PATROL"/>
    <m/>
    <x v="0"/>
    <m/>
    <m/>
    <x v="0"/>
    <n v="58"/>
    <s v="2026165S"/>
  </r>
  <r>
    <n v="16"/>
    <d v="2026-04-14T00:00:00"/>
    <x v="8"/>
    <x v="5"/>
    <s v="ÇİZİK HATASI İÇİN PPS FORMATINDA PROBLEM ÇÖZÜM METODU ÇALIŞILACAK VE ÖNÜMÜZDEKİ HAFTA ASAKAİ DE SUNUM YAPILACAK 20.04.2026"/>
    <x v="6"/>
    <x v="4"/>
    <x v="0"/>
    <d v="2026-04-20T00:00:00"/>
    <d v="2026-04-14T00:00:00"/>
    <x v="1"/>
    <s v="PPS ÇİZİK HATASI"/>
    <m/>
    <x v="0"/>
    <m/>
    <m/>
    <x v="0"/>
    <n v="59"/>
    <s v="202616KALİTE"/>
  </r>
  <r>
    <n v="16"/>
    <d v="2026-04-14T00:00:00"/>
    <x v="5"/>
    <x v="0"/>
    <s v="BUGÜN VİDEOSU ÇEKİLEN SETUP İŞLEMİN PRIVATELY VİDEO ANALİZİ YAPILACAK 14.O4.2026"/>
    <x v="0"/>
    <x v="4"/>
    <x v="2"/>
    <d v="2026-04-23T00:00:00"/>
    <d v="2026-04-14T00:00:00"/>
    <x v="1"/>
    <s v="SMED"/>
    <m/>
    <x v="0"/>
    <m/>
    <m/>
    <x v="0"/>
    <n v="60"/>
    <s v="202616SMED"/>
  </r>
  <r>
    <n v="16"/>
    <d v="2026-04-14T00:00:00"/>
    <x v="8"/>
    <x v="5"/>
    <s v="DARBE KAYNAKLI HURDA HATASI OLUŞUNUMUNU ENGELLEMEK ADINA FABRİKA İÇİ OLMASI GEREKEN KUTU MİN MAX SAYI STANDARTLARI OLUŞTURULACAK. VE TAKİP İÇİN METHOT BELİRLENECEK"/>
    <x v="6"/>
    <x v="7"/>
    <x v="1"/>
    <d v="2026-04-13T00:00:00"/>
    <d v="2026-04-14T00:00:00"/>
    <x v="1"/>
    <s v="BOŞ KUTU STANDARTI"/>
    <m/>
    <x v="0"/>
    <m/>
    <m/>
    <x v="0"/>
    <n v="61"/>
    <s v="202616KALİTE"/>
  </r>
  <r>
    <n v="15"/>
    <d v="2026-04-07T00:00:00"/>
    <x v="1"/>
    <x v="5"/>
    <s v="KUMLAMA TEZGAHI BASINÇ MANOMETRESİ TAKILACAK"/>
    <x v="6"/>
    <x v="1"/>
    <x v="1"/>
    <d v="2026-04-13T00:00:00"/>
    <d v="2026-04-07T00:00:00"/>
    <x v="1"/>
    <s v="KUMLAMA KALİTE"/>
    <m/>
    <x v="0"/>
    <m/>
    <m/>
    <x v="0"/>
    <n v="62"/>
    <s v="202615TPM"/>
  </r>
  <r>
    <n v="15"/>
    <d v="2026-04-07T00:00:00"/>
    <x v="7"/>
    <x v="0"/>
    <s v="ASAKAİ PFUS TAKİP LİSTESİNE KPI A OLUMSUZ ETKİ EDEN TÜM PROBLEMLER EKLENECEK"/>
    <x v="1"/>
    <x v="4"/>
    <x v="2"/>
    <d v="2026-04-13T00:00:00"/>
    <d v="2026-04-07T00:00:00"/>
    <x v="1"/>
    <s v="PFUS"/>
    <m/>
    <x v="0"/>
    <m/>
    <m/>
    <x v="0"/>
    <n v="63"/>
    <s v="202615GÖRSEL YÖNETİM"/>
  </r>
  <r>
    <n v="15"/>
    <d v="2026-04-07T00:00:00"/>
    <x v="8"/>
    <x v="5"/>
    <s v="PEROSES VE KALİTE GRUBU SORUMLULUĞUNDAKİ TÜM KALİTE KONTROLLERİNİN TEYİT EDİLMESİ"/>
    <x v="6"/>
    <x v="10"/>
    <x v="0"/>
    <d v="2026-04-13T00:00:00"/>
    <d v="2026-04-07T00:00:00"/>
    <x v="1"/>
    <s v="KALİTE"/>
    <m/>
    <x v="0"/>
    <m/>
    <m/>
    <x v="0"/>
    <n v="64"/>
    <s v="202615KALİTE"/>
  </r>
  <r>
    <n v="15"/>
    <d v="2026-04-07T00:00:00"/>
    <x v="7"/>
    <x v="0"/>
    <s v="ASAKAİ ALANINDA PANOYA PPS PRATICE PROBLEM SOLVING FORMATI TASARLANMASI"/>
    <x v="0"/>
    <x v="0"/>
    <x v="1"/>
    <d v="2026-04-13T00:00:00"/>
    <d v="2026-04-07T00:00:00"/>
    <x v="1"/>
    <s v="PPS"/>
    <m/>
    <x v="0"/>
    <m/>
    <m/>
    <x v="0"/>
    <n v="65"/>
    <s v="202615GÖRSEL YÖNETİM"/>
  </r>
  <r>
    <n v="15"/>
    <d v="2026-04-07T00:00:00"/>
    <x v="5"/>
    <x v="0"/>
    <s v="PAKETLEME PROSESİ VİDEO ÇEKİMİ VE ANALİZİ"/>
    <x v="1"/>
    <x v="11"/>
    <x v="1"/>
    <d v="2026-04-13T00:00:00"/>
    <d v="2026-04-07T00:00:00"/>
    <x v="1"/>
    <s v="SMED"/>
    <m/>
    <x v="0"/>
    <m/>
    <m/>
    <x v="0"/>
    <n v="66"/>
    <s v="202615SMED"/>
  </r>
  <r>
    <n v="15"/>
    <d v="2026-04-07T00:00:00"/>
    <x v="3"/>
    <x v="0"/>
    <s v="RETMES SİSTEMİNDE ÇALIŞMA SÜRESİNİN HATALI OLMASI SEBEBİYLE PLANLANAN GERÇEKLEŞEN ORANLARININ HATALI HESAPLANMASI"/>
    <x v="1"/>
    <x v="3"/>
    <x v="2"/>
    <d v="2026-04-13T00:00:00"/>
    <d v="2026-04-07T00:00:00"/>
    <x v="1"/>
    <s v="RETMES HATALI VERİ"/>
    <m/>
    <x v="0"/>
    <m/>
    <m/>
    <x v="0"/>
    <n v="67"/>
    <s v="202615SAHA YÖNETİMİ"/>
  </r>
  <r>
    <n v="15"/>
    <d v="2026-04-06T00:00:00"/>
    <x v="5"/>
    <x v="0"/>
    <s v="SETUP ÖNCELİKLİ 5466 REFERANSI OLMAK ÜZERE BEYAZ EŞYA HATTINDA SETUP ÇALIŞMALARINDA VİDEO ÇEKİMLERİ YAPILACAK"/>
    <x v="0"/>
    <x v="11"/>
    <x v="2"/>
    <d v="2026-04-13T00:00:00"/>
    <d v="2026-04-06T00:00:00"/>
    <x v="1"/>
    <s v="SMED"/>
    <m/>
    <x v="0"/>
    <m/>
    <m/>
    <x v="0"/>
    <n v="68"/>
    <s v="202615SMED"/>
  </r>
  <r>
    <n v="14"/>
    <d v="2026-04-01T00:00:00"/>
    <x v="7"/>
    <x v="0"/>
    <s v="SAATLİK ÜRETM PANOLARI VE ASAKAİ GRAFİKLERİ TÜM BİRİMLERDE DOLDURULMAYA BAŞLANACAK VE TAKİBİ YAPILACAK"/>
    <x v="0"/>
    <x v="0"/>
    <x v="1"/>
    <d v="2026-04-06T00:00:00"/>
    <d v="2026-04-01T00:00:00"/>
    <x v="1"/>
    <s v="ASAKAİ"/>
    <m/>
    <x v="0"/>
    <m/>
    <m/>
    <x v="0"/>
    <n v="69"/>
    <s v="202614GÖRSEL YÖNETİM"/>
  </r>
  <r>
    <n v="14"/>
    <d v="2026-04-01T00:00:00"/>
    <x v="7"/>
    <x v="0"/>
    <s v="ASAKAİ UYGULAMA START VERİLMESİ"/>
    <x v="0"/>
    <x v="0"/>
    <x v="1"/>
    <d v="2026-04-06T00:00:00"/>
    <d v="2026-04-06T00:00:00"/>
    <x v="0"/>
    <s v="ASAKAİ"/>
    <m/>
    <x v="0"/>
    <m/>
    <m/>
    <x v="0"/>
    <n v="70"/>
    <s v="202614GÖRSEL YÖNETİM"/>
  </r>
  <r>
    <n v="14"/>
    <d v="2026-04-01T00:00:00"/>
    <x v="8"/>
    <x v="5"/>
    <s v="SON KONTROL KALİTE GRAFİKLERİ PAKETLENEN MİKTAR VE BULUNAN HATA SAYSI ORANI ALINARAK GRAFİK İŞARETLEMESİ YAPILACAK"/>
    <x v="6"/>
    <x v="8"/>
    <x v="1"/>
    <d v="2026-04-06T00:00:00"/>
    <d v="2026-04-06T00:00:00"/>
    <x v="0"/>
    <s v="ASAKAİ"/>
    <m/>
    <x v="0"/>
    <m/>
    <m/>
    <x v="0"/>
    <n v="71"/>
    <s v="202614KALİTE"/>
  </r>
  <r>
    <n v="14"/>
    <d v="2026-04-01T00:00:00"/>
    <x v="1"/>
    <x v="0"/>
    <s v="MTTR-MTBF TAKİP KONUSUNDA BAKIM GRUBU İLE ÖRNEK DOKÜMAN PAYLAŞILDI. ASAKAİ DE BU FORMLAR YARDIMIYLE MTTR MTBF GRAFİKLERİ HAZIRLANACAK"/>
    <x v="1"/>
    <x v="1"/>
    <x v="1"/>
    <d v="2026-04-06T00:00:00"/>
    <d v="2026-04-06T00:00:00"/>
    <x v="0"/>
    <s v="ASAKAİ"/>
    <m/>
    <x v="0"/>
    <m/>
    <m/>
    <x v="0"/>
    <n v="72"/>
    <s v="202614TPM"/>
  </r>
  <r>
    <n v="14"/>
    <d v="2026-04-01T00:00:00"/>
    <x v="7"/>
    <x v="0"/>
    <s v="ASAKAİ SUNUM İÇİN 2 MİKROFONLU HOPERLÖR ALINACAK"/>
    <x v="1"/>
    <x v="0"/>
    <x v="1"/>
    <d v="2026-04-06T00:00:00"/>
    <d v="2026-04-07T00:00:00"/>
    <x v="1"/>
    <m/>
    <m/>
    <x v="0"/>
    <m/>
    <m/>
    <x v="0"/>
    <n v="73"/>
    <s v="202614GÖRSEL YÖNETİM"/>
  </r>
  <r>
    <n v="14"/>
    <d v="2026-04-01T00:00:00"/>
    <x v="5"/>
    <x v="0"/>
    <s v="HAFTA İÇİ 5466 REFERAN NUMARASI İÇİN SETUP YAPILAN TÜM ALANLARDAN VİDEO ÇEKİMİ YAPILACAK"/>
    <x v="1"/>
    <x v="11"/>
    <x v="1"/>
    <d v="2026-04-06T00:00:00"/>
    <d v="2026-04-01T00:00:00"/>
    <x v="1"/>
    <s v="SMED"/>
    <m/>
    <x v="0"/>
    <m/>
    <m/>
    <x v="0"/>
    <n v="74"/>
    <s v="202614SMED"/>
  </r>
  <r>
    <n v="14"/>
    <d v="2026-04-01T00:00:00"/>
    <x v="7"/>
    <x v="0"/>
    <s v="06.04.2026 P.TESİ GÜNÜ İLK ASAKAİ DEMO SUNUMUNU YAPACAK ŞEKİLDE TÜM BİRİMLER HAZIRLIKLARINI TAMAMLAYACAK"/>
    <x v="1"/>
    <x v="0"/>
    <x v="1"/>
    <d v="2026-04-06T00:00:00"/>
    <d v="2026-04-06T00:00:00"/>
    <x v="0"/>
    <s v="ASAKAİ DEMO SUNUMU"/>
    <m/>
    <x v="0"/>
    <m/>
    <m/>
    <x v="0"/>
    <n v="75"/>
    <s v="202614GÖRSEL YÖNETİM"/>
  </r>
  <r>
    <n v="14"/>
    <d v="2026-03-30T00:00:00"/>
    <x v="7"/>
    <x v="0"/>
    <s v="ASAKAİ GRAFİK VE SAATLİK ÜRETİM TAKİP FORMLARI HAZIRLANDI. PROSES TEYİDİ ALINDI VE PROSESLERE DAĞITILDI"/>
    <x v="0"/>
    <x v="0"/>
    <x v="1"/>
    <d v="2026-04-01T00:00:00"/>
    <d v="2026-04-01T00:00:00"/>
    <x v="0"/>
    <s v="ASAKAİ"/>
    <m/>
    <x v="0"/>
    <m/>
    <m/>
    <x v="0"/>
    <n v="76"/>
    <s v="202614GÖRSEL YÖNETİM"/>
  </r>
  <r>
    <n v="14"/>
    <d v="2026-03-30T00:00:00"/>
    <x v="7"/>
    <x v="0"/>
    <s v="HAFTA BAZLI KÜMİLATİF TOPLAMDA PLANLANAN GERÇEKLEŞEN ÜRETİM ADETLERİ VE PLANLANAN GERÇEKLEŞEN SEVKİYAT ORANLARINI PLANLAMA GRUBU BİR FORMAT ÜZERİNDE ASSAKAİ ALANINDA SUNUMUMU YAPACAK"/>
    <x v="1"/>
    <x v="7"/>
    <x v="1"/>
    <d v="2026-04-06T00:00:00"/>
    <d v="2026-03-30T00:00:00"/>
    <x v="1"/>
    <s v="PALANLANA GERÇEKLEŞEN ÜRETİM VE SEVKİYAT TAKİP İ"/>
    <m/>
    <x v="0"/>
    <m/>
    <m/>
    <x v="0"/>
    <n v="77"/>
    <s v="202614GÖRSEL YÖNETİM"/>
  </r>
  <r>
    <n v="13"/>
    <d v="2026-03-24T00:00:00"/>
    <x v="5"/>
    <x v="0"/>
    <s v="TCNC-22 SMED ÇALIŞMASINDA Kİ AKSİYONLARIN PLANLANARAK KARŞI ÖNLEM FAALİYETLERİNİN BAŞLATILMASI - HEDEF 3454 sn. SETUP SÜRESİNİN 2158 sn DÜŞÜLMESİ %45 İyileştirme"/>
    <x v="2"/>
    <x v="4"/>
    <x v="2"/>
    <d v="2026-04-28T00:00:00"/>
    <d v="2026-03-24T00:00:00"/>
    <x v="1"/>
    <s v="SMED ÇALIŞMASI TCNC-22"/>
    <m/>
    <x v="0"/>
    <m/>
    <m/>
    <x v="0"/>
    <n v="78"/>
    <s v="202613SMED"/>
  </r>
  <r>
    <n v="13"/>
    <d v="2026-03-23T00:00:00"/>
    <x v="5"/>
    <x v="0"/>
    <s v="takım sıfırlama (x+z) - X iptal, Z mevcut parça ile yeni parça arasında ki boy farkı hesaplanıp ofset değerine eklenecek"/>
    <x v="2"/>
    <x v="9"/>
    <x v="0"/>
    <d v="2026-04-28T00:00:00"/>
    <d v="2026-03-23T00:00:00"/>
    <x v="1"/>
    <s v="TCNC-22 SMED"/>
    <m/>
    <x v="0"/>
    <m/>
    <m/>
    <x v="0"/>
    <n v="79"/>
    <s v="202613SMED"/>
  </r>
  <r>
    <n v="13"/>
    <d v="2026-03-22T00:00:00"/>
    <x v="5"/>
    <x v="0"/>
    <s v="çene ayarı yapmak kumpas almak çene ayarına devam - modüler sert ayak sistemi adaptasyonu gerçekleştirilecek"/>
    <x v="2"/>
    <x v="4"/>
    <x v="0"/>
    <d v="2026-04-28T00:00:00"/>
    <d v="2026-03-22T00:00:00"/>
    <x v="1"/>
    <s v="TCNC-22 SMED ÇALIŞMASI"/>
    <m/>
    <x v="0"/>
    <m/>
    <m/>
    <x v="0"/>
    <n v="80"/>
    <s v="202613SMED"/>
  </r>
  <r>
    <n v="13"/>
    <d v="2026-03-22T00:00:00"/>
    <x v="5"/>
    <x v="0"/>
    <s v="takım sıfırlama (x+z) - X iptal, Z mevcut parça ile yeni parça arasında ki boy farkı hesaplanıp ofset değerine eklenecek"/>
    <x v="2"/>
    <x v="9"/>
    <x v="0"/>
    <d v="2026-03-23T00:00:00"/>
    <d v="2026-03-22T00:00:00"/>
    <x v="1"/>
    <s v="TCNC-22 SMED ÇALIŞMASI"/>
    <m/>
    <x v="0"/>
    <m/>
    <m/>
    <x v="0"/>
    <n v="81"/>
    <s v="202613SMED"/>
  </r>
  <r>
    <n v="12"/>
    <d v="2026-03-17T00:00:00"/>
    <x v="11"/>
    <x v="0"/>
    <s v="HAT1-HAT2 ARASI ARA STOK MİKTARI TAKİP"/>
    <x v="7"/>
    <x v="7"/>
    <x v="1"/>
    <d v="2026-04-16T00:00:00"/>
    <d v="2026-03-17T00:00:00"/>
    <x v="1"/>
    <s v="VSM Çalışması 5466"/>
    <m/>
    <x v="0"/>
    <m/>
    <m/>
    <x v="0"/>
    <n v="82"/>
    <s v="202612VSM"/>
  </r>
  <r>
    <n v="12"/>
    <d v="2026-03-17T00:00:00"/>
    <x v="11"/>
    <x v="0"/>
    <s v="Günlük saha fiziki stok kontrolü (kaç kere ve nerelere yapılacağı kararı alınacak)"/>
    <x v="7"/>
    <x v="7"/>
    <x v="1"/>
    <d v="2026-04-15T00:00:00"/>
    <d v="2026-03-17T00:00:00"/>
    <x v="1"/>
    <s v="VSM 5466"/>
    <m/>
    <x v="0"/>
    <m/>
    <m/>
    <x v="0"/>
    <n v="83"/>
    <s v="202612VSM"/>
  </r>
  <r>
    <n v="12"/>
    <d v="2026-03-17T00:00:00"/>
    <x v="11"/>
    <x v="0"/>
    <s v="Hat c/t22 hat216 Tact time Veri girişinin önemi anlatılacak standart çalışma talimatı OEE takibi"/>
    <x v="0"/>
    <x v="4"/>
    <x v="0"/>
    <d v="2026-04-15T00:00:00"/>
    <d v="2026-03-17T00:00:00"/>
    <x v="1"/>
    <s v="VSM Çalışması 5466"/>
    <m/>
    <x v="0"/>
    <m/>
    <m/>
    <x v="0"/>
    <n v="84"/>
    <s v="202612VSM"/>
  </r>
  <r>
    <n v="12"/>
    <d v="2026-03-17T00:00:00"/>
    <x v="11"/>
    <x v="0"/>
    <s v="Bitmiş ürün stoğu 6 günlük Bağ miktarlarının lot ağırlığı yarıya indirilebilir mi?"/>
    <x v="7"/>
    <x v="12"/>
    <x v="0"/>
    <d v="2026-04-15T00:00:00"/>
    <d v="2026-03-17T00:00:00"/>
    <x v="1"/>
    <s v="VSM Çalışması 5466"/>
    <m/>
    <x v="0"/>
    <m/>
    <m/>
    <x v="0"/>
    <n v="85"/>
    <s v="202612VSM"/>
  </r>
  <r>
    <n v="12"/>
    <d v="2026-03-17T00:00:00"/>
    <x v="5"/>
    <x v="0"/>
    <s v="SMED çalışmalarının başlatılması"/>
    <x v="0"/>
    <x v="2"/>
    <x v="2"/>
    <d v="2026-03-23T00:00:00"/>
    <d v="2026-03-23T00:00:00"/>
    <x v="0"/>
    <s v="VSM ÇALIŞMASI 5466"/>
    <m/>
    <x v="0"/>
    <m/>
    <m/>
    <x v="0"/>
    <n v="86"/>
    <s v="202612SMED"/>
  </r>
  <r>
    <n v="11"/>
    <d v="2026-03-17T00:00:00"/>
    <x v="7"/>
    <x v="0"/>
    <s v="ASAKAİ GRAFİK EĞİTİMİ YAPILDI"/>
    <x v="0"/>
    <x v="2"/>
    <x v="1"/>
    <d v="2026-03-17T00:00:00"/>
    <d v="2026-03-17T00:00:00"/>
    <x v="0"/>
    <s v="ASAKAİ"/>
    <m/>
    <x v="0"/>
    <m/>
    <m/>
    <x v="0"/>
    <n v="87"/>
    <s v="202611GÖRSEL YÖNETİM"/>
  </r>
  <r>
    <n v="12"/>
    <d v="2026-03-16T00:00:00"/>
    <x v="11"/>
    <x v="0"/>
    <s v="GÜNLÜK MÜŞTERİ SİPARİŞİ PARÇA BRÜT AĞIRLIĞI Tampon stok ham malzeme Güvenlik stoğu"/>
    <x v="7"/>
    <x v="7"/>
    <x v="1"/>
    <d v="2026-04-07T00:00:00"/>
    <d v="2026-03-16T00:00:00"/>
    <x v="1"/>
    <s v="VSM İdeal durum 5466"/>
    <m/>
    <x v="0"/>
    <m/>
    <m/>
    <x v="0"/>
    <n v="88"/>
    <s v="202612VSM"/>
  </r>
  <r>
    <n v="12"/>
    <d v="2026-03-16T00:00:00"/>
    <x v="11"/>
    <x v="0"/>
    <s v="Caniastan 36lık ham malzeme geliş tarih ve adetlerine bakılacak"/>
    <x v="7"/>
    <x v="0"/>
    <x v="1"/>
    <d v="2026-04-07T00:00:00"/>
    <d v="2026-03-16T00:00:00"/>
    <x v="1"/>
    <s v="VSM çalışması 5466"/>
    <m/>
    <x v="0"/>
    <m/>
    <m/>
    <x v="0"/>
    <n v="89"/>
    <s v="202612VSM"/>
  </r>
  <r>
    <n v="12"/>
    <d v="2026-03-16T00:00:00"/>
    <x v="11"/>
    <x v="0"/>
    <s v="36lık Ham malzemenin geç gelmesi duruma istinaden 2 günlük 10 ton ham malzeme stoklarda stabil tutulacak"/>
    <x v="7"/>
    <x v="12"/>
    <x v="0"/>
    <d v="2026-04-07T00:00:00"/>
    <d v="2026-03-16T00:00:00"/>
    <x v="1"/>
    <s v="VSM çalışması 5466"/>
    <m/>
    <x v="0"/>
    <m/>
    <m/>
    <x v="0"/>
    <n v="90"/>
    <s v="202612VSM"/>
  </r>
  <r>
    <n v="12"/>
    <d v="2026-03-16T00:00:00"/>
    <x v="11"/>
    <x v="0"/>
    <s v="DT-HAT1 ARASI ARA STOK MİKTARI Stok takip"/>
    <x v="7"/>
    <x v="13"/>
    <x v="0"/>
    <d v="2026-04-07T00:00:00"/>
    <d v="2026-03-16T00:00:00"/>
    <x v="1"/>
    <s v="VSM 5466"/>
    <m/>
    <x v="0"/>
    <m/>
    <m/>
    <x v="0"/>
    <n v="91"/>
    <s v="202612VSM"/>
  </r>
  <r>
    <n v="12"/>
    <d v="2026-03-16T00:00:00"/>
    <x v="11"/>
    <x v="0"/>
    <s v="İŞ EMİRLERİNİN GÜNLÜK AÇILMASI kararı"/>
    <x v="0"/>
    <x v="7"/>
    <x v="1"/>
    <d v="2026-04-07T00:00:00"/>
    <d v="2026-03-16T00:00:00"/>
    <x v="1"/>
    <s v="VSM Çalışması 5466"/>
    <m/>
    <x v="0"/>
    <m/>
    <m/>
    <x v="0"/>
    <n v="92"/>
    <s v="202612VSM"/>
  </r>
  <r>
    <n v="12"/>
    <d v="2026-03-16T00:00:00"/>
    <x v="11"/>
    <x v="0"/>
    <s v="Son kontrol tampon stoğu oluşturulacak (min 30000- max 38000) Güvenlik stoğu %50"/>
    <x v="7"/>
    <x v="7"/>
    <x v="1"/>
    <d v="2026-04-16T00:00:00"/>
    <d v="2026-03-16T00:00:00"/>
    <x v="1"/>
    <s v="VSM Çalışması 5466"/>
    <m/>
    <x v="0"/>
    <m/>
    <m/>
    <x v="0"/>
    <n v="93"/>
    <s v="202612VSM"/>
  </r>
  <r>
    <n v="12"/>
    <d v="2026-03-16T00:00:00"/>
    <x v="5"/>
    <x v="0"/>
    <s v="Kardeş takım çağırma dış smed Capto heimer kombinasyonu Transferde"/>
    <x v="0"/>
    <x v="4"/>
    <x v="0"/>
    <d v="2026-04-16T00:00:00"/>
    <d v="2026-03-16T00:00:00"/>
    <x v="1"/>
    <s v="VSM Çalışması 5466"/>
    <m/>
    <x v="0"/>
    <m/>
    <m/>
    <x v="0"/>
    <n v="94"/>
    <s v="202612SMED"/>
  </r>
  <r>
    <n v="13"/>
    <d v="2026-03-16T00:00:00"/>
    <x v="7"/>
    <x v="0"/>
    <s v="ASAKAI GRAFİKLERİ HAZIRLANACAK"/>
    <x v="0"/>
    <x v="0"/>
    <x v="1"/>
    <d v="2026-04-06T00:00:00"/>
    <d v="2026-04-06T00:00:00"/>
    <x v="0"/>
    <s v="ASAKAİ"/>
    <m/>
    <x v="0"/>
    <m/>
    <m/>
    <x v="0"/>
    <n v="95"/>
    <s v="202613GÖRSEL YÖNETİM"/>
  </r>
  <r>
    <n v="11"/>
    <d v="2026-03-10T00:00:00"/>
    <x v="11"/>
    <x v="0"/>
    <s v="VSM çalışması"/>
    <x v="1"/>
    <x v="2"/>
    <x v="1"/>
    <d v="2026-03-10T00:00:00"/>
    <d v="2026-03-10T00:00:00"/>
    <x v="0"/>
    <s v="Beyaz eşya hattı VSM çalışması yapılacak"/>
    <m/>
    <x v="0"/>
    <m/>
    <m/>
    <x v="0"/>
    <n v="96"/>
    <s v="202611VSM"/>
  </r>
  <r>
    <n v="10"/>
    <d v="2026-03-03T00:00:00"/>
    <x v="12"/>
    <x v="0"/>
    <s v="VSM veri analizi yapıldı"/>
    <x v="1"/>
    <x v="2"/>
    <x v="1"/>
    <d v="2026-03-03T00:00:00"/>
    <d v="2026-03-03T00:00:00"/>
    <x v="0"/>
    <s v="VSM için saha çalışması yapıldı"/>
    <m/>
    <x v="0"/>
    <m/>
    <m/>
    <x v="0"/>
    <n v="97"/>
    <s v="202610AKIŞ İYİLEŞTİRME"/>
  </r>
  <r>
    <n v="10"/>
    <d v="2026-03-03T00:00:00"/>
    <x v="12"/>
    <x v="0"/>
    <s v="VSM beyaz eşya hattı veri takibi"/>
    <x v="1"/>
    <x v="0"/>
    <x v="1"/>
    <d v="2026-03-09T00:00:00"/>
    <d v="2026-03-03T00:00:00"/>
    <x v="1"/>
    <s v="VSM için Beyaz eşya verileri temize geçilecek"/>
    <m/>
    <x v="0"/>
    <m/>
    <m/>
    <x v="0"/>
    <n v="98"/>
    <s v="202610AKIŞ İYİLEŞTİRME"/>
  </r>
  <r>
    <n v="10"/>
    <d v="2026-03-03T00:00:00"/>
    <x v="12"/>
    <x v="0"/>
    <s v="Beyaz eşya taşıma süreleri analiz"/>
    <x v="1"/>
    <x v="11"/>
    <x v="1"/>
    <d v="2026-03-09T00:00:00"/>
    <d v="2026-03-03T00:00:00"/>
    <x v="1"/>
    <s v="Beyaz eşya hattı malzeme taşıma süreleri analiz edilecek"/>
    <m/>
    <x v="0"/>
    <m/>
    <m/>
    <x v="0"/>
    <n v="99"/>
    <s v="202610AKIŞ İYİLEŞTİRME"/>
  </r>
  <r>
    <n v="10"/>
    <d v="2026-03-03T00:00:00"/>
    <x v="9"/>
    <x v="0"/>
    <s v="Beyaz eşya son kontrol kalite dataları"/>
    <x v="6"/>
    <x v="4"/>
    <x v="1"/>
    <d v="2026-03-09T00:00:00"/>
    <d v="2026-03-03T00:00:00"/>
    <x v="1"/>
    <s v="Beyaz eşya hattı son kontrol kalite verileri çıkartılacak"/>
    <m/>
    <x v="0"/>
    <m/>
    <m/>
    <x v="0"/>
    <n v="100"/>
    <s v="202610OEE"/>
  </r>
  <r>
    <n v="10"/>
    <d v="2026-03-03T00:00:00"/>
    <x v="4"/>
    <x v="0"/>
    <s v="VSM çalışması için malzeme temin edilmesi"/>
    <x v="1"/>
    <x v="9"/>
    <x v="1"/>
    <d v="2026-03-03T00:00:00"/>
    <d v="2026-03-03T00:00:00"/>
    <x v="0"/>
    <s v="A0 kağıt, renkli postit kağıtlar, kalem temini"/>
    <m/>
    <x v="0"/>
    <m/>
    <m/>
    <x v="0"/>
    <n v="101"/>
    <s v="202610EĞİTİM"/>
  </r>
  <r>
    <n v="10"/>
    <d v="2026-03-02T00:00:00"/>
    <x v="4"/>
    <x v="3"/>
    <s v="TPS Teknikleri eğitimi yapıldı"/>
    <x v="3"/>
    <x v="2"/>
    <x v="1"/>
    <d v="2026-03-02T00:00:00"/>
    <d v="2026-03-02T00:00:00"/>
    <x v="0"/>
    <s v="TPS Teknikleri eğitimi yapıldı"/>
    <m/>
    <x v="0"/>
    <m/>
    <m/>
    <x v="0"/>
    <n v="102"/>
    <s v="202610EĞİTİM"/>
  </r>
  <r>
    <n v="10"/>
    <d v="2026-03-02T00:00:00"/>
    <x v="3"/>
    <x v="0"/>
    <s v="TPS Ekip oluşturuldu"/>
    <x v="3"/>
    <x v="2"/>
    <x v="1"/>
    <d v="2026-03-02T00:00:00"/>
    <d v="2026-03-02T00:00:00"/>
    <x v="0"/>
    <s v="TPS takımı kuruldu"/>
    <m/>
    <x v="0"/>
    <m/>
    <m/>
    <x v="0"/>
    <n v="103"/>
    <s v="202610SAHA YÖNETİMİ"/>
  </r>
  <r>
    <n v="9"/>
    <d v="2026-02-26T00:00:00"/>
    <x v="4"/>
    <x v="3"/>
    <s v="TPS Eğitim"/>
    <x v="3"/>
    <x v="2"/>
    <x v="1"/>
    <d v="2026-02-26T00:00:00"/>
    <d v="2026-02-26T00:00:00"/>
    <x v="0"/>
    <s v="TPS Giriş eğitimi yapıldı"/>
    <m/>
    <x v="0"/>
    <m/>
    <m/>
    <x v="0"/>
    <n v="104"/>
    <s v="20269EĞİTİM"/>
  </r>
  <r>
    <n v="9"/>
    <d v="2026-02-24T00:00:00"/>
    <x v="4"/>
    <x v="3"/>
    <s v="TPS Master plan hazırlama ve sunum"/>
    <x v="5"/>
    <x v="2"/>
    <x v="1"/>
    <d v="2026-02-24T00:00:00"/>
    <d v="2026-03-24T00:00:00"/>
    <x v="1"/>
    <s v="TPS Master plan sunumu yapıldı"/>
    <m/>
    <x v="0"/>
    <m/>
    <m/>
    <x v="0"/>
    <n v="105"/>
    <s v="20269EĞİTİM"/>
  </r>
  <r>
    <n v="8"/>
    <d v="2026-02-17T00:00:00"/>
    <x v="4"/>
    <x v="3"/>
    <s v="TPS Assessment çalışması"/>
    <x v="5"/>
    <x v="2"/>
    <x v="1"/>
    <d v="2026-02-17T00:00:00"/>
    <d v="2026-02-17T00:00:00"/>
    <x v="0"/>
    <s v="TPS Asseessment yapıldı rapor sunumu yapıldı"/>
    <m/>
    <x v="0"/>
    <m/>
    <m/>
    <x v="0"/>
    <n v="106"/>
    <s v="20268EĞİTİM"/>
  </r>
  <r>
    <n v="8"/>
    <d v="2026-02-16T00:00:00"/>
    <x v="4"/>
    <x v="3"/>
    <s v="TPS Assessment çalışması yapıldı."/>
    <x v="5"/>
    <x v="2"/>
    <x v="1"/>
    <d v="2026-02-16T00:00:00"/>
    <d v="2026-02-16T00:00:00"/>
    <x v="0"/>
    <s v="Assessment çalışması yapıldı"/>
    <m/>
    <x v="0"/>
    <m/>
    <m/>
    <x v="0"/>
    <n v="107"/>
    <s v="20268EĞİTİ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7"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chartFormat="15" rowHeaderCaption="Çıktı" colHeaderCaption="AKSİYON DURUMU">
  <location ref="AK3:AL12" firstHeaderRow="1" firstDataRow="1" firstDataCol="1"/>
  <pivotFields count="19">
    <pivotField dataField="1" showAll="0"/>
    <pivotField numFmtId="14" showAll="0"/>
    <pivotField showAll="0"/>
    <pivotField showAll="0"/>
    <pivotField showAll="0" defaultSubtotal="0"/>
    <pivotField axis="axisRow" showAll="0">
      <items count="15">
        <item m="1" x="13"/>
        <item m="1" x="12"/>
        <item x="4"/>
        <item x="5"/>
        <item x="1"/>
        <item x="0"/>
        <item x="3"/>
        <item x="2"/>
        <item m="1" x="9"/>
        <item m="1" x="8"/>
        <item x="6"/>
        <item m="1" x="11"/>
        <item x="7"/>
        <item m="1" x="10"/>
        <item t="default"/>
      </items>
    </pivotField>
    <pivotField showAll="0"/>
    <pivotField showAll="0"/>
    <pivotField numFmtId="14" showAll="0"/>
    <pivotField showAll="0"/>
    <pivotField showAll="0"/>
    <pivotField showAll="0"/>
    <pivotField showAll="0"/>
    <pivotField showAll="0" defaultSubtotal="0"/>
    <pivotField showAll="0"/>
    <pivotField showAll="0"/>
    <pivotField showAll="0" defaultSubtotal="0"/>
    <pivotField showAll="0" defaultSubtotal="0"/>
    <pivotField showAll="0" defaultSubtotal="0"/>
  </pivotFields>
  <rowFields count="1">
    <field x="5"/>
  </rowFields>
  <rowItems count="9">
    <i>
      <x v="2"/>
    </i>
    <i>
      <x v="3"/>
    </i>
    <i>
      <x v="4"/>
    </i>
    <i>
      <x v="5"/>
    </i>
    <i>
      <x v="6"/>
    </i>
    <i>
      <x v="7"/>
    </i>
    <i>
      <x v="10"/>
    </i>
    <i>
      <x v="12"/>
    </i>
    <i t="grand">
      <x/>
    </i>
  </rowItems>
  <colItems count="1">
    <i/>
  </colItems>
  <dataFields count="1">
    <dataField name="Aksiyon Sayısı" fld="0" subtotal="count" baseField="6" baseItem="0"/>
  </dataFields>
  <chartFormats count="7">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2"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chartFormat="12" rowHeaderCaption="İyileştirme Konusu" colHeaderCaption="AKSİYON DURUMU">
  <location ref="AH3:AI10" firstHeaderRow="1" firstDataRow="1" firstDataCol="1"/>
  <pivotFields count="19">
    <pivotField dataField="1" showAll="0"/>
    <pivotField numFmtId="14" showAll="0"/>
    <pivotField showAll="0"/>
    <pivotField axis="axisRow" showAll="0">
      <items count="14">
        <item x="1"/>
        <item x="4"/>
        <item x="2"/>
        <item x="5"/>
        <item x="3"/>
        <item m="1" x="12"/>
        <item x="0"/>
        <item m="1" x="10"/>
        <item m="1" x="11"/>
        <item m="1" x="9"/>
        <item m="1" x="7"/>
        <item m="1" x="8"/>
        <item m="1" x="6"/>
        <item t="default"/>
      </items>
    </pivotField>
    <pivotField showAll="0" defaultSubtotal="0"/>
    <pivotField showAll="0"/>
    <pivotField showAll="0"/>
    <pivotField showAll="0"/>
    <pivotField numFmtId="14" showAll="0"/>
    <pivotField showAll="0"/>
    <pivotField showAll="0"/>
    <pivotField showAll="0"/>
    <pivotField showAll="0"/>
    <pivotField showAll="0" defaultSubtotal="0"/>
    <pivotField showAll="0"/>
    <pivotField showAll="0"/>
    <pivotField showAll="0" defaultSubtotal="0"/>
    <pivotField showAll="0" defaultSubtotal="0"/>
    <pivotField showAll="0" defaultSubtotal="0"/>
  </pivotFields>
  <rowFields count="1">
    <field x="3"/>
  </rowFields>
  <rowItems count="7">
    <i>
      <x/>
    </i>
    <i>
      <x v="1"/>
    </i>
    <i>
      <x v="2"/>
    </i>
    <i>
      <x v="3"/>
    </i>
    <i>
      <x v="4"/>
    </i>
    <i>
      <x v="6"/>
    </i>
    <i t="grand">
      <x/>
    </i>
  </rowItems>
  <colItems count="1">
    <i/>
  </colItems>
  <dataFields count="1">
    <dataField name="Aksiyon Sayısı" fld="0" subtotal="count" baseField="6" baseItem="0"/>
  </dataFields>
  <chartFormats count="5">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8" cacheId="5" applyNumberFormats="0" applyBorderFormats="0" applyFontFormats="0" applyPatternFormats="0" applyAlignmentFormats="0" applyWidthHeightFormats="1" dataCaption="Değerler" updatedVersion="8" minRefreshableVersion="3" useAutoFormatting="1" itemPrintTitles="1" createdVersion="6" indent="0" outline="1" outlineData="1" multipleFieldFilters="0" chartFormat="5">
  <location ref="AN3:AQ5" firstHeaderRow="0" firstDataRow="1" firstDataCol="1"/>
  <pivotFields count="4">
    <pivotField axis="axisRow" showAll="0">
      <items count="5">
        <item m="1" x="3"/>
        <item m="1" x="2"/>
        <item m="1" x="1"/>
        <item x="0"/>
        <item t="default"/>
      </items>
    </pivotField>
    <pivotField dataField="1" showAll="0"/>
    <pivotField dataField="1" showAll="0"/>
    <pivotField dataField="1" showAll="0"/>
  </pivotFields>
  <rowFields count="1">
    <field x="0"/>
  </rowFields>
  <rowItems count="2">
    <i>
      <x v="3"/>
    </i>
    <i t="grand">
      <x/>
    </i>
  </rowItems>
  <colFields count="1">
    <field x="-2"/>
  </colFields>
  <colItems count="3">
    <i>
      <x/>
    </i>
    <i i="1">
      <x v="1"/>
    </i>
    <i i="2">
      <x v="2"/>
    </i>
  </colItems>
  <dataFields count="3">
    <dataField name="OPEX" fld="1" baseField="0" baseItem="0"/>
    <dataField name="OEE " fld="2" baseField="0" baseItem="0"/>
    <dataField name="Lead Time " fld="3"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6"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rowHeaderCaption="YIL" colHeaderCaption="AKSİYON DURUMU">
  <location ref="R1:S3" firstHeaderRow="1" firstDataRow="1" firstDataCol="1"/>
  <pivotFields count="19">
    <pivotField showAll="0"/>
    <pivotField numFmtId="14" showAll="0"/>
    <pivotField showAll="0"/>
    <pivotField showAll="0"/>
    <pivotField showAll="0" defaultSubtotal="0"/>
    <pivotField showAll="0"/>
    <pivotField showAll="0"/>
    <pivotField showAll="0"/>
    <pivotField numFmtId="14" showAll="0"/>
    <pivotField showAll="0"/>
    <pivotField showAll="0"/>
    <pivotField showAll="0"/>
    <pivotField showAll="0"/>
    <pivotField showAll="0" defaultSubtotal="0"/>
    <pivotField showAll="0"/>
    <pivotField dataField="1" showAll="0"/>
    <pivotField axis="axisRow" showAll="0" defaultSubtotal="0">
      <items count="6">
        <item m="1" x="3"/>
        <item m="1" x="4"/>
        <item m="1" x="5"/>
        <item m="1" x="1"/>
        <item x="0"/>
        <item m="1" x="2"/>
      </items>
    </pivotField>
    <pivotField showAll="0" defaultSubtotal="0"/>
    <pivotField showAll="0" defaultSubtotal="0"/>
  </pivotFields>
  <rowFields count="1">
    <field x="16"/>
  </rowFields>
  <rowItems count="2">
    <i>
      <x v="4"/>
    </i>
    <i t="grand">
      <x/>
    </i>
  </rowItems>
  <colItems count="1">
    <i/>
  </colItems>
  <dataFields count="1">
    <dataField name="Toplam Eş Değer Ürün" fld="15" baseField="17"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chartFormat="9" rowHeaderCaption="Faaliyet Konusu" colHeaderCaption="AKSİYON DURUMU">
  <location ref="AE3:AF17" firstHeaderRow="1" firstDataRow="1" firstDataCol="1"/>
  <pivotFields count="19">
    <pivotField dataField="1" showAll="0"/>
    <pivotField numFmtId="14" showAll="0"/>
    <pivotField axis="axisRow" showAll="0">
      <items count="23">
        <item m="1" x="21"/>
        <item x="4"/>
        <item x="7"/>
        <item m="1" x="13"/>
        <item m="1" x="19"/>
        <item x="6"/>
        <item x="3"/>
        <item x="10"/>
        <item x="11"/>
        <item m="1" x="18"/>
        <item m="1" x="14"/>
        <item m="1" x="17"/>
        <item m="1" x="16"/>
        <item x="12"/>
        <item m="1" x="20"/>
        <item x="2"/>
        <item x="8"/>
        <item x="9"/>
        <item x="5"/>
        <item x="0"/>
        <item m="1" x="15"/>
        <item x="1"/>
        <item t="default"/>
      </items>
    </pivotField>
    <pivotField showAll="0"/>
    <pivotField showAll="0" defaultSubtotal="0"/>
    <pivotField showAll="0"/>
    <pivotField showAll="0"/>
    <pivotField showAll="0"/>
    <pivotField numFmtId="14" showAll="0"/>
    <pivotField showAll="0"/>
    <pivotField showAll="0"/>
    <pivotField showAll="0"/>
    <pivotField showAll="0"/>
    <pivotField showAll="0" defaultSubtotal="0"/>
    <pivotField showAll="0"/>
    <pivotField showAll="0"/>
    <pivotField showAll="0" defaultSubtotal="0"/>
    <pivotField showAll="0" defaultSubtotal="0"/>
    <pivotField showAll="0" defaultSubtotal="0"/>
  </pivotFields>
  <rowFields count="1">
    <field x="2"/>
  </rowFields>
  <rowItems count="14">
    <i>
      <x v="1"/>
    </i>
    <i>
      <x v="2"/>
    </i>
    <i>
      <x v="5"/>
    </i>
    <i>
      <x v="6"/>
    </i>
    <i>
      <x v="7"/>
    </i>
    <i>
      <x v="8"/>
    </i>
    <i>
      <x v="13"/>
    </i>
    <i>
      <x v="15"/>
    </i>
    <i>
      <x v="16"/>
    </i>
    <i>
      <x v="17"/>
    </i>
    <i>
      <x v="18"/>
    </i>
    <i>
      <x v="19"/>
    </i>
    <i>
      <x v="21"/>
    </i>
    <i t="grand">
      <x/>
    </i>
  </rowItems>
  <colItems count="1">
    <i/>
  </colItems>
  <dataFields count="1">
    <dataField name="Aksiyon Sayısı" fld="0" subtotal="count" baseField="6" baseItem="0"/>
  </dataFields>
  <chartFormats count="3">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0"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chartFormat="3" rowHeaderCaption="SORUMLU" colHeaderCaption="AKSİYON DURUMU">
  <location ref="U3:W19" firstHeaderRow="1" firstDataRow="2" firstDataCol="1"/>
  <pivotFields count="19">
    <pivotField dataField="1" showAll="0"/>
    <pivotField numFmtId="14" showAll="0"/>
    <pivotField showAll="0"/>
    <pivotField showAll="0"/>
    <pivotField showAll="0" defaultSubtotal="0"/>
    <pivotField showAll="0"/>
    <pivotField axis="axisRow" showAll="0">
      <items count="35">
        <item m="1" x="28"/>
        <item m="1" x="33"/>
        <item m="1" x="29"/>
        <item m="1" x="26"/>
        <item m="1" x="27"/>
        <item m="1" x="32"/>
        <item m="1" x="31"/>
        <item m="1" x="30"/>
        <item m="1" x="17"/>
        <item m="1" x="18"/>
        <item m="1" x="19"/>
        <item m="1" x="20"/>
        <item m="1" x="21"/>
        <item m="1" x="22"/>
        <item m="1" x="23"/>
        <item m="1" x="24"/>
        <item x="2"/>
        <item m="1" x="25"/>
        <item x="4"/>
        <item x="9"/>
        <item x="7"/>
        <item x="0"/>
        <item x="12"/>
        <item x="13"/>
        <item x="3"/>
        <item x="8"/>
        <item x="6"/>
        <item m="1" x="14"/>
        <item x="5"/>
        <item x="1"/>
        <item m="1" x="15"/>
        <item m="1" x="16"/>
        <item x="10"/>
        <item x="11"/>
        <item t="default"/>
      </items>
    </pivotField>
    <pivotField showAll="0"/>
    <pivotField numFmtId="14" showAll="0"/>
    <pivotField showAll="0"/>
    <pivotField axis="axisCol" showAll="0">
      <items count="4">
        <item x="1"/>
        <item x="0"/>
        <item m="1" x="2"/>
        <item t="default"/>
      </items>
    </pivotField>
    <pivotField showAll="0"/>
    <pivotField showAll="0"/>
    <pivotField showAll="0" defaultSubtotal="0"/>
    <pivotField showAll="0"/>
    <pivotField showAll="0"/>
    <pivotField showAll="0" defaultSubtotal="0"/>
    <pivotField showAll="0" defaultSubtotal="0"/>
    <pivotField showAll="0" defaultSubtotal="0"/>
  </pivotFields>
  <rowFields count="1">
    <field x="6"/>
  </rowFields>
  <rowItems count="15">
    <i>
      <x v="16"/>
    </i>
    <i>
      <x v="18"/>
    </i>
    <i>
      <x v="19"/>
    </i>
    <i>
      <x v="20"/>
    </i>
    <i>
      <x v="21"/>
    </i>
    <i>
      <x v="22"/>
    </i>
    <i>
      <x v="23"/>
    </i>
    <i>
      <x v="24"/>
    </i>
    <i>
      <x v="25"/>
    </i>
    <i>
      <x v="26"/>
    </i>
    <i>
      <x v="28"/>
    </i>
    <i>
      <x v="29"/>
    </i>
    <i>
      <x v="32"/>
    </i>
    <i>
      <x v="33"/>
    </i>
    <i t="grand">
      <x/>
    </i>
  </rowItems>
  <colFields count="1">
    <field x="10"/>
  </colFields>
  <colItems count="2">
    <i>
      <x/>
    </i>
    <i>
      <x v="1"/>
    </i>
  </colItems>
  <dataFields count="1">
    <dataField name="Aksiyon Sayısı" fld="0" subtotal="count" baseField="6"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10" count="1" selected="0">
            <x v="0"/>
          </reference>
        </references>
      </pivotArea>
    </chartFormat>
    <chartFormat chart="2" format="10" series="1">
      <pivotArea type="data" outline="0" fieldPosition="0">
        <references count="2">
          <reference field="4294967294" count="1" selected="0">
            <x v="0"/>
          </reference>
          <reference field="10" count="1" selected="0">
            <x v="1"/>
          </reference>
        </references>
      </pivotArea>
    </chartFormat>
    <chartFormat chart="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4"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rowHeaderCaption="YIL" colHeaderCaption="AKSİYON DURUMU">
  <location ref="H1:J4" firstHeaderRow="1" firstDataRow="2" firstDataCol="1"/>
  <pivotFields count="19">
    <pivotField dataField="1" showAll="0"/>
    <pivotField numFmtId="14" showAll="0"/>
    <pivotField showAll="0"/>
    <pivotField showAll="0"/>
    <pivotField showAll="0" defaultSubtotal="0"/>
    <pivotField showAll="0"/>
    <pivotField showAll="0"/>
    <pivotField showAll="0"/>
    <pivotField numFmtId="14" showAll="0"/>
    <pivotField showAll="0"/>
    <pivotField axis="axisCol" showAll="0">
      <items count="4">
        <item x="1"/>
        <item x="0"/>
        <item m="1" x="2"/>
        <item t="default"/>
      </items>
    </pivotField>
    <pivotField showAll="0"/>
    <pivotField showAll="0"/>
    <pivotField showAll="0" defaultSubtotal="0"/>
    <pivotField showAll="0"/>
    <pivotField showAll="0"/>
    <pivotField axis="axisRow" showAll="0" defaultSubtotal="0">
      <items count="6">
        <item m="1" x="3"/>
        <item m="1" x="4"/>
        <item m="1" x="5"/>
        <item m="1" x="1"/>
        <item x="0"/>
        <item m="1" x="2"/>
      </items>
    </pivotField>
    <pivotField showAll="0" defaultSubtotal="0"/>
    <pivotField showAll="0" defaultSubtotal="0"/>
  </pivotFields>
  <rowFields count="1">
    <field x="16"/>
  </rowFields>
  <rowItems count="2">
    <i>
      <x v="4"/>
    </i>
    <i t="grand">
      <x/>
    </i>
  </rowItems>
  <colFields count="1">
    <field x="10"/>
  </colFields>
  <colItems count="2">
    <i>
      <x/>
    </i>
    <i>
      <x v="1"/>
    </i>
  </colItems>
  <dataFields count="1">
    <dataField name="Say Ziyaret Haftası" fld="0" subtotal="count" baseField="16"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5"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rowHeaderCaption="YIL" colHeaderCaption="AKSİYON DURUMU">
  <location ref="M1:N3" firstHeaderRow="1" firstDataRow="2" firstDataCol="1"/>
  <pivotFields count="19">
    <pivotField showAll="0"/>
    <pivotField numFmtId="14" showAll="0"/>
    <pivotField showAll="0"/>
    <pivotField showAll="0"/>
    <pivotField showAll="0" defaultSubtotal="0"/>
    <pivotField showAll="0"/>
    <pivotField showAll="0"/>
    <pivotField showAll="0"/>
    <pivotField numFmtId="14" showAll="0"/>
    <pivotField showAll="0"/>
    <pivotField showAll="0"/>
    <pivotField showAll="0"/>
    <pivotField showAll="0"/>
    <pivotField axis="axisCol" showAll="0" defaultSubtotal="0">
      <items count="5">
        <item m="1" x="3"/>
        <item m="1" x="4"/>
        <item m="1" x="2"/>
        <item h="1" m="1" x="1"/>
        <item h="1" x="0"/>
      </items>
    </pivotField>
    <pivotField dataField="1" showAll="0"/>
    <pivotField showAll="0"/>
    <pivotField axis="axisRow" showAll="0" defaultSubtotal="0">
      <items count="6">
        <item m="1" x="3"/>
        <item m="1" x="4"/>
        <item m="1" x="5"/>
        <item m="1" x="1"/>
        <item x="0"/>
        <item m="1" x="2"/>
      </items>
    </pivotField>
    <pivotField showAll="0" defaultSubtotal="0"/>
    <pivotField showAll="0" defaultSubtotal="0"/>
  </pivotFields>
  <rowFields count="1">
    <field x="16"/>
  </rowFields>
  <rowItems count="1">
    <i t="grand">
      <x/>
    </i>
  </rowItems>
  <colFields count="1">
    <field x="13"/>
  </colFields>
  <dataFields count="1">
    <dataField name="Toplam Kaizen Kazancı" fld="14" baseField="17"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rowHeaderCaption="YIL" colHeaderCaption="AKSİYON DURUMU">
  <location ref="A1:D4" firstHeaderRow="1" firstDataRow="2" firstDataCol="1"/>
  <pivotFields count="19">
    <pivotField dataField="1" showAll="0"/>
    <pivotField numFmtId="14" showAll="0"/>
    <pivotField showAll="0"/>
    <pivotField showAll="0"/>
    <pivotField showAll="0" defaultSubtotal="0"/>
    <pivotField showAll="0"/>
    <pivotField showAll="0"/>
    <pivotField axis="axisCol" showAll="0">
      <items count="6">
        <item x="0"/>
        <item x="2"/>
        <item m="1" x="4"/>
        <item x="1"/>
        <item m="1" x="3"/>
        <item t="default"/>
      </items>
    </pivotField>
    <pivotField numFmtId="14" showAll="0"/>
    <pivotField showAll="0"/>
    <pivotField showAll="0"/>
    <pivotField showAll="0"/>
    <pivotField showAll="0"/>
    <pivotField showAll="0" defaultSubtotal="0"/>
    <pivotField showAll="0"/>
    <pivotField showAll="0"/>
    <pivotField axis="axisRow" showAll="0" defaultSubtotal="0">
      <items count="6">
        <item m="1" x="3"/>
        <item m="1" x="4"/>
        <item m="1" x="5"/>
        <item m="1" x="1"/>
        <item x="0"/>
        <item m="1" x="2"/>
      </items>
    </pivotField>
    <pivotField showAll="0" defaultSubtotal="0"/>
    <pivotField showAll="0" defaultSubtotal="0"/>
  </pivotFields>
  <rowFields count="1">
    <field x="16"/>
  </rowFields>
  <rowItems count="2">
    <i>
      <x v="4"/>
    </i>
    <i t="grand">
      <x/>
    </i>
  </rowItems>
  <colFields count="1">
    <field x="7"/>
  </colFields>
  <colItems count="3">
    <i>
      <x/>
    </i>
    <i>
      <x v="1"/>
    </i>
    <i>
      <x v="3"/>
    </i>
  </colItems>
  <dataFields count="1">
    <dataField name="Say Ziyaret Haftası" fld="0" subtotal="count" baseField="16"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21" cacheId="16" applyNumberFormats="0" applyBorderFormats="0" applyFontFormats="0" applyPatternFormats="0" applyAlignmentFormats="0" applyWidthHeightFormats="1" dataCaption="Değerler" grandTotalCaption="TOPLAM" updatedVersion="8" minRefreshableVersion="3" useAutoFormatting="1" colGrandTotals="0" itemPrintTitles="1" createdVersion="6" indent="0" outline="1" outlineData="1" multipleFieldFilters="0" chartFormat="6" rowHeaderCaption="SORUMLU" colHeaderCaption="AKSİYON DURUMU">
  <location ref="Y3:AB19" firstHeaderRow="1" firstDataRow="2" firstDataCol="1"/>
  <pivotFields count="19">
    <pivotField dataField="1" showAll="0"/>
    <pivotField numFmtId="14" showAll="0"/>
    <pivotField showAll="0"/>
    <pivotField showAll="0"/>
    <pivotField showAll="0" defaultSubtotal="0"/>
    <pivotField showAll="0"/>
    <pivotField axis="axisRow" showAll="0">
      <items count="35">
        <item m="1" x="28"/>
        <item m="1" x="33"/>
        <item m="1" x="29"/>
        <item m="1" x="26"/>
        <item m="1" x="27"/>
        <item m="1" x="32"/>
        <item m="1" x="31"/>
        <item m="1" x="30"/>
        <item m="1" x="17"/>
        <item m="1" x="18"/>
        <item m="1" x="19"/>
        <item m="1" x="20"/>
        <item m="1" x="21"/>
        <item m="1" x="22"/>
        <item m="1" x="23"/>
        <item m="1" x="24"/>
        <item x="2"/>
        <item m="1" x="25"/>
        <item x="4"/>
        <item x="9"/>
        <item x="7"/>
        <item x="0"/>
        <item x="12"/>
        <item x="13"/>
        <item x="3"/>
        <item x="8"/>
        <item x="6"/>
        <item m="1" x="14"/>
        <item x="5"/>
        <item x="1"/>
        <item m="1" x="15"/>
        <item m="1" x="16"/>
        <item x="10"/>
        <item x="11"/>
        <item t="default"/>
      </items>
    </pivotField>
    <pivotField axis="axisCol" showAll="0">
      <items count="6">
        <item x="0"/>
        <item x="2"/>
        <item m="1" x="4"/>
        <item x="1"/>
        <item m="1" x="3"/>
        <item t="default"/>
      </items>
    </pivotField>
    <pivotField numFmtId="14" showAll="0"/>
    <pivotField showAll="0"/>
    <pivotField showAll="0"/>
    <pivotField showAll="0"/>
    <pivotField showAll="0"/>
    <pivotField showAll="0" defaultSubtotal="0"/>
    <pivotField showAll="0"/>
    <pivotField showAll="0"/>
    <pivotField showAll="0" defaultSubtotal="0"/>
    <pivotField showAll="0" defaultSubtotal="0"/>
    <pivotField showAll="0" defaultSubtotal="0"/>
  </pivotFields>
  <rowFields count="1">
    <field x="6"/>
  </rowFields>
  <rowItems count="15">
    <i>
      <x v="16"/>
    </i>
    <i>
      <x v="18"/>
    </i>
    <i>
      <x v="19"/>
    </i>
    <i>
      <x v="20"/>
    </i>
    <i>
      <x v="21"/>
    </i>
    <i>
      <x v="22"/>
    </i>
    <i>
      <x v="23"/>
    </i>
    <i>
      <x v="24"/>
    </i>
    <i>
      <x v="25"/>
    </i>
    <i>
      <x v="26"/>
    </i>
    <i>
      <x v="28"/>
    </i>
    <i>
      <x v="29"/>
    </i>
    <i>
      <x v="32"/>
    </i>
    <i>
      <x v="33"/>
    </i>
    <i t="grand">
      <x/>
    </i>
  </rowItems>
  <colFields count="1">
    <field x="7"/>
  </colFields>
  <colItems count="3">
    <i>
      <x/>
    </i>
    <i>
      <x v="1"/>
    </i>
    <i>
      <x v="3"/>
    </i>
  </colItems>
  <dataFields count="1">
    <dataField name="Aksiyon Sayısı" fld="0" subtotal="count" baseField="6" baseItem="0"/>
  </dataFields>
  <chartFormats count="16">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3"/>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2"/>
          </reference>
        </references>
      </pivotArea>
    </chartFormat>
    <chartFormat chart="4" format="7" series="1">
      <pivotArea type="data" outline="0" fieldPosition="0">
        <references count="2">
          <reference field="4294967294" count="1" selected="0">
            <x v="0"/>
          </reference>
          <reference field="7" count="1" selected="0">
            <x v="3"/>
          </reference>
        </references>
      </pivotArea>
    </chartFormat>
    <chartFormat chart="5" format="12" series="1">
      <pivotArea type="data" outline="0" fieldPosition="0">
        <references count="2">
          <reference field="4294967294" count="1" selected="0">
            <x v="0"/>
          </reference>
          <reference field="7" count="1" selected="0">
            <x v="0"/>
          </reference>
        </references>
      </pivotArea>
    </chartFormat>
    <chartFormat chart="5" format="13" series="1">
      <pivotArea type="data" outline="0" fieldPosition="0">
        <references count="2">
          <reference field="4294967294" count="1" selected="0">
            <x v="0"/>
          </reference>
          <reference field="7" count="1" selected="0">
            <x v="1"/>
          </reference>
        </references>
      </pivotArea>
    </chartFormat>
    <chartFormat chart="5" format="14" series="1">
      <pivotArea type="data" outline="0" fieldPosition="0">
        <references count="2">
          <reference field="4294967294" count="1" selected="0">
            <x v="0"/>
          </reference>
          <reference field="7" count="1" selected="0">
            <x v="2"/>
          </reference>
        </references>
      </pivotArea>
    </chartFormat>
    <chartFormat chart="5" format="15" series="1">
      <pivotArea type="data" outline="0" fieldPosition="0">
        <references count="2">
          <reference field="4294967294" count="1" selected="0">
            <x v="0"/>
          </reference>
          <reference field="7"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porTablo" displayName="RaporTablo" ref="B8:T115" totalsRowShown="0" headerRowDxfId="22" dataDxfId="20" headerRowBorderDxfId="21">
  <autoFilter ref="B8:T115" xr:uid="{00000000-0009-0000-0100-000001000000}"/>
  <tableColumns count="19">
    <tableColumn id="1" xr3:uid="{00000000-0010-0000-0000-000001000000}" name="Ziyaret Haftası" dataDxfId="19"/>
    <tableColumn id="2" xr3:uid="{00000000-0010-0000-0000-000002000000}" name="Çalışma Tarihi" dataDxfId="18"/>
    <tableColumn id="3" xr3:uid="{00000000-0010-0000-0000-000003000000}" name="Faaliyet Konusu" dataDxfId="17"/>
    <tableColumn id="4" xr3:uid="{00000000-0010-0000-0000-000004000000}" name="İyileştirme Konusu" dataDxfId="16"/>
    <tableColumn id="5" xr3:uid="{00000000-0010-0000-0000-000005000000}" name="Yapılan Çalışmalar / Alınan Kararlar" dataDxfId="15"/>
    <tableColumn id="6" xr3:uid="{00000000-0010-0000-0000-000006000000}" name="Çıktı" dataDxfId="14"/>
    <tableColumn id="7" xr3:uid="{00000000-0010-0000-0000-000007000000}" name="Sorumlu" dataDxfId="13"/>
    <tableColumn id="8" xr3:uid="{00000000-0010-0000-0000-000008000000}" name="Takip" dataDxfId="12"/>
    <tableColumn id="9" xr3:uid="{00000000-0010-0000-0000-000009000000}" name="Termin" dataDxfId="11"/>
    <tableColumn id="10" xr3:uid="{00000000-0010-0000-0000-00000A000000}" name="Gerçekleşme Tarihi" dataDxfId="10"/>
    <tableColumn id="11" xr3:uid="{00000000-0010-0000-0000-00000B000000}" name="Termine Uyum" dataDxfId="9"/>
    <tableColumn id="12" xr3:uid="{00000000-0010-0000-0000-00000C000000}" name="Notlar" dataDxfId="8"/>
    <tableColumn id="13" xr3:uid="{00000000-0010-0000-0000-00000D000000}" name="Kazanç Miktarı" dataDxfId="7"/>
    <tableColumn id="16" xr3:uid="{00000000-0010-0000-0000-000010000000}" name="Kazanç Birimi" dataDxfId="6"/>
    <tableColumn id="14" xr3:uid="{00000000-0010-0000-0000-00000E000000}" name="Kaizen Kazancı" dataDxfId="5"/>
    <tableColumn id="15" xr3:uid="{00000000-0010-0000-0000-00000F000000}" name="Eş Değer Ürün" dataDxfId="4"/>
    <tableColumn id="17" xr3:uid="{00000000-0010-0000-0000-000011000000}" name="Sene" dataDxfId="3"/>
    <tableColumn id="18" xr3:uid="{00000000-0010-0000-0000-000012000000}" name="Sıra No" dataDxfId="2"/>
    <tableColumn id="19" xr3:uid="{00000000-0010-0000-0000-000013000000}" name="Eslestirme" dataDxfId="1"/>
  </tableColumns>
  <tableStyleInfo name="TableStyleMedium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FirmaBilgileri" displayName="FirmaBilgileri" ref="A1:A2" totalsRowShown="0">
  <autoFilter ref="A1:A2" xr:uid="{00000000-0009-0000-0100-000003000000}"/>
  <tableColumns count="1">
    <tableColumn id="1" xr3:uid="{00000000-0010-0000-0100-000001000000}" name="FirmaAd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FirmaParametreleri" displayName="FirmaParametreleri" ref="C1:F2" insertRow="1" totalsRowShown="0">
  <autoFilter ref="C1:F2" xr:uid="{00000000-0009-0000-0100-000004000000}"/>
  <tableColumns count="4">
    <tableColumn id="1" xr3:uid="{00000000-0010-0000-0200-000001000000}" name="DegerlendirmeNo"/>
    <tableColumn id="2" xr3:uid="{00000000-0010-0000-0200-000002000000}" name="Opex Puanı"/>
    <tableColumn id="3" xr3:uid="{00000000-0010-0000-0200-000003000000}" name="OEE"/>
    <tableColumn id="4" xr3:uid="{00000000-0010-0000-0200-000004000000}" name="Lead Ti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EgitimBilgileri" displayName="EgitimBilgileri" ref="H1:J2" totalsRowShown="0">
  <autoFilter ref="H1:J2" xr:uid="{00000000-0009-0000-0100-000005000000}"/>
  <tableColumns count="3">
    <tableColumn id="1" xr3:uid="{00000000-0010-0000-0300-000001000000}" name="EgitimSayisi"/>
    <tableColumn id="2" xr3:uid="{00000000-0010-0000-0300-000002000000}" name="EgitimPersoneli"/>
    <tableColumn id="3" xr3:uid="{00000000-0010-0000-0300-000003000000}" name="EgitimSaati"/>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FaaliyetPlani" displayName="FaaliyetPlani" ref="L1:O2" insertRow="1" totalsRowShown="0">
  <autoFilter ref="L1:O2" xr:uid="{00000000-0009-0000-0100-000002000000}"/>
  <tableColumns count="4">
    <tableColumn id="1" xr3:uid="{00000000-0010-0000-0400-000001000000}" name="FaaliyetKonusuText"/>
    <tableColumn id="2" xr3:uid="{00000000-0010-0000-0400-000002000000}" name="FaaliyetYili"/>
    <tableColumn id="3" xr3:uid="{00000000-0010-0000-0400-000003000000}" name="FaaliyetHaftasi"/>
    <tableColumn id="4" xr3:uid="{00000000-0010-0000-0400-000004000000}" name="Eslestirme" dataDxfId="0"/>
  </tableColumns>
  <tableStyleInfo name="TableStyleMedium2"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5"/>
  <sheetViews>
    <sheetView tabSelected="1" zoomScale="115" zoomScaleNormal="70" workbookViewId="0">
      <selection sqref="A1:G7"/>
    </sheetView>
  </sheetViews>
  <sheetFormatPr baseColWidth="10" defaultColWidth="8.83203125" defaultRowHeight="15" x14ac:dyDescent="0.2"/>
  <cols>
    <col min="1" max="1" width="10.5" bestFit="1" customWidth="1"/>
    <col min="2" max="2" width="16.6640625" style="7" bestFit="1" customWidth="1"/>
    <col min="3" max="3" width="16" style="7" bestFit="1" customWidth="1"/>
    <col min="4" max="4" width="17.83203125" style="7" bestFit="1" customWidth="1"/>
    <col min="5" max="5" width="20.5" style="7" bestFit="1" customWidth="1"/>
    <col min="6" max="6" width="44.33203125" style="7" customWidth="1"/>
    <col min="7" max="7" width="12.6640625" style="7" bestFit="1" customWidth="1"/>
    <col min="8" max="8" width="15.6640625" style="7" bestFit="1" customWidth="1"/>
    <col min="9" max="9" width="14.5" style="7" bestFit="1" customWidth="1"/>
    <col min="10" max="10" width="10.83203125" style="7" bestFit="1" customWidth="1"/>
    <col min="11" max="11" width="20.83203125" style="7" bestFit="1" customWidth="1"/>
    <col min="12" max="12" width="17.1640625" style="7" bestFit="1" customWidth="1"/>
    <col min="13" max="13" width="20.6640625" style="7" customWidth="1"/>
    <col min="14" max="14" width="18.33203125" style="7" bestFit="1" customWidth="1"/>
    <col min="15" max="15" width="15.5" style="7" bestFit="1" customWidth="1"/>
    <col min="16" max="17" width="16.5" style="7" bestFit="1" customWidth="1"/>
    <col min="18" max="18" width="8.5" bestFit="1" customWidth="1"/>
    <col min="19" max="19" width="10.5" bestFit="1" customWidth="1"/>
    <col min="20" max="20" width="11.33203125" customWidth="1"/>
  </cols>
  <sheetData>
    <row r="1" spans="1:20" ht="15" customHeight="1" x14ac:dyDescent="0.2">
      <c r="A1" s="56" t="str">
        <f>INDEX(Bilgiler!A:A,2)</f>
        <v xml:space="preserve">Müşteri İsmi </v>
      </c>
      <c r="B1" s="57"/>
      <c r="C1" s="57"/>
      <c r="D1" s="57"/>
      <c r="E1" s="57"/>
      <c r="F1" s="57"/>
      <c r="G1" s="58"/>
      <c r="H1" s="69" t="s">
        <v>0</v>
      </c>
      <c r="I1" s="71" t="s">
        <v>1</v>
      </c>
      <c r="J1" s="73" t="s">
        <v>2</v>
      </c>
      <c r="K1" s="75" t="s">
        <v>3</v>
      </c>
      <c r="L1" s="67" t="s">
        <v>4</v>
      </c>
      <c r="M1" s="62" t="s">
        <v>5</v>
      </c>
      <c r="N1" s="64" t="s">
        <v>6</v>
      </c>
      <c r="O1" s="65"/>
      <c r="P1" s="65"/>
      <c r="Q1" s="66"/>
    </row>
    <row r="2" spans="1:20" ht="17" customHeight="1" thickBot="1" x14ac:dyDescent="0.25">
      <c r="A2" s="59"/>
      <c r="B2" s="60"/>
      <c r="C2" s="60"/>
      <c r="D2" s="60"/>
      <c r="E2" s="60"/>
      <c r="F2" s="60"/>
      <c r="G2" s="61"/>
      <c r="H2" s="70"/>
      <c r="I2" s="72"/>
      <c r="J2" s="74"/>
      <c r="K2" s="76"/>
      <c r="L2" s="68"/>
      <c r="M2" s="63"/>
      <c r="N2" s="27" t="s">
        <v>7</v>
      </c>
      <c r="O2" s="28" t="s">
        <v>8</v>
      </c>
      <c r="P2" s="28" t="s">
        <v>9</v>
      </c>
      <c r="Q2" s="29" t="s">
        <v>10</v>
      </c>
    </row>
    <row r="3" spans="1:20" ht="15" customHeight="1" x14ac:dyDescent="0.2">
      <c r="A3" s="59"/>
      <c r="B3" s="60"/>
      <c r="C3" s="60"/>
      <c r="D3" s="60"/>
      <c r="E3" s="60"/>
      <c r="F3" s="60"/>
      <c r="G3" s="61"/>
      <c r="H3" s="42">
        <f>YEAR(MAX(RaporTablo[[#All],[Çalışma Tarihi]]))</f>
        <v>2026</v>
      </c>
      <c r="I3" s="18">
        <f>IFERROR(VLOOKUP(H3,Pivot!$A$2:$E$16,MATCH("Devam Ediyor",Pivot!$A$2:$E$2,0),0),"0")</f>
        <v>11</v>
      </c>
      <c r="J3" s="19">
        <f>IFERROR(VLOOKUP(H3,Pivot!$A$2:$E$16,MATCH("Açık",Pivot!$A$2:$E$2,0),0),"0")</f>
        <v>53</v>
      </c>
      <c r="K3" s="20">
        <f>IFERROR(VLOOKUP(H3,Pivot!$A$2:$E$16,MATCH("Kapalı",Pivot!$A$2:$E$2,0),0),"0")</f>
        <v>43</v>
      </c>
      <c r="L3" s="21">
        <f>IFERROR(VLOOKUP(H3,Pivot!$A$2:$F$16,6,0),"0")</f>
        <v>0.40186915887850466</v>
      </c>
      <c r="M3" s="22">
        <f>IFERROR(VLOOKUP(H3,Pivot!$H$2:$K$16,4,0),0)</f>
        <v>0.35514018691588783</v>
      </c>
      <c r="N3" s="23">
        <f>IFERROR(VLOOKUP(H3,Pivot!$M$2:$P$16,MATCH("TL",Pivot!$M$2:$P$2,0),0),0)</f>
        <v>0</v>
      </c>
      <c r="O3" s="24">
        <f>IFERROR(VLOOKUP(H3,Pivot!$M$2:$P$16,MATCH("$",Pivot!$M$2:$P$2,0),0),0)</f>
        <v>0</v>
      </c>
      <c r="P3" s="25">
        <f>IFERROR(VLOOKUP(H3,Pivot!$M$2:$P$16,MATCH("€",Pivot!$M$2:$P$2,0),0),0)</f>
        <v>0</v>
      </c>
      <c r="Q3" s="26">
        <f>IFERROR(VLOOKUP(H3,Pivot!R2:S16,2,0),0)</f>
        <v>0</v>
      </c>
    </row>
    <row r="4" spans="1:20" ht="16" customHeight="1" x14ac:dyDescent="0.2">
      <c r="A4" s="59"/>
      <c r="B4" s="60"/>
      <c r="C4" s="60"/>
      <c r="D4" s="60"/>
      <c r="E4" s="60"/>
      <c r="F4" s="60"/>
      <c r="G4" s="61"/>
      <c r="H4" s="43">
        <f>YEAR(MAX(RaporTablo[[#All],[Çalışma Tarihi]]))-1</f>
        <v>2025</v>
      </c>
      <c r="I4" s="12" t="str">
        <f>IFERROR(VLOOKUP(H4,Pivot!$A$2:$E$16,MATCH("Devam Ediyor",Pivot!$A$2:$E$2,0),0),"0")</f>
        <v>0</v>
      </c>
      <c r="J4" s="9" t="str">
        <f>IFERROR(VLOOKUP(H4,Pivot!$A$2:$E$16,MATCH("Açık",Pivot!$A$2:$E$2,0),0),"0")</f>
        <v>0</v>
      </c>
      <c r="K4" s="13" t="str">
        <f>IFERROR(VLOOKUP(H4,Pivot!$A$2:$E$16,MATCH("Kapalı",Pivot!$A$2:$E$2,0),0),"0")</f>
        <v>0</v>
      </c>
      <c r="L4" s="14" t="str">
        <f>IFERROR(VLOOKUP(H4,Pivot!$A$2:$F$16,6,0),"0")</f>
        <v>0</v>
      </c>
      <c r="M4" s="15">
        <f>IFERROR(VLOOKUP(H4,Pivot!$H$2:$K$16,4,0),0)</f>
        <v>0</v>
      </c>
      <c r="N4" s="16">
        <f>IFERROR(VLOOKUP(H4,Pivot!$M$2:$P$16,MATCH("TL",Pivot!$M$2:$P$2,0),0),0)</f>
        <v>0</v>
      </c>
      <c r="O4" s="10">
        <f>IFERROR(VLOOKUP(H4,Pivot!$M$2:$P$16,MATCH("$",Pivot!$M$2:$P$2,0),0),0)</f>
        <v>0</v>
      </c>
      <c r="P4" s="11">
        <f>IFERROR(VLOOKUP(H4,Pivot!$M$2:$P$16,MATCH("€",Pivot!$M$2:$P$2,0),0),0)</f>
        <v>0</v>
      </c>
      <c r="Q4" s="17">
        <f>IFERROR(VLOOKUP(H4,Pivot!R3:S17,2,0),0)</f>
        <v>0</v>
      </c>
    </row>
    <row r="5" spans="1:20" ht="16" customHeight="1" x14ac:dyDescent="0.2">
      <c r="A5" s="59"/>
      <c r="B5" s="60"/>
      <c r="C5" s="60"/>
      <c r="D5" s="60"/>
      <c r="E5" s="60"/>
      <c r="F5" s="60"/>
      <c r="G5" s="61"/>
      <c r="H5" s="43">
        <f>YEAR(MAX(RaporTablo[[#All],[Çalışma Tarihi]]))-2</f>
        <v>2024</v>
      </c>
      <c r="I5" s="12" t="str">
        <f>IFERROR(VLOOKUP(H5,Pivot!$A$2:$E$16,MATCH("Devam Ediyor",Pivot!$A$2:$E$2,0),0),"0")</f>
        <v>0</v>
      </c>
      <c r="J5" s="9" t="str">
        <f>IFERROR(VLOOKUP(H5,Pivot!$A$2:$E$16,MATCH("Açık",Pivot!$A$2:$E$2,0),0),"0")</f>
        <v>0</v>
      </c>
      <c r="K5" s="13" t="str">
        <f>IFERROR(VLOOKUP(H5,Pivot!$A$2:$E$16,MATCH("Kapalı",Pivot!$A$2:$E$2,0),0),"0")</f>
        <v>0</v>
      </c>
      <c r="L5" s="14" t="str">
        <f>IFERROR(VLOOKUP(H5,Pivot!$A$2:$F$16,6,0),"0")</f>
        <v>0</v>
      </c>
      <c r="M5" s="15">
        <f>IFERROR(VLOOKUP(H5,Pivot!$H$2:$K$16,4,0),0)</f>
        <v>0</v>
      </c>
      <c r="N5" s="16">
        <f>IFERROR(VLOOKUP(H5,Pivot!$M$2:$P$16,MATCH("TL",Pivot!$M$2:$P$2,0),0),0)</f>
        <v>0</v>
      </c>
      <c r="O5" s="10">
        <f>IFERROR(VLOOKUP(H5,Pivot!$M$2:$P$16,MATCH("$",Pivot!$M$2:$P$2,0),0),0)</f>
        <v>0</v>
      </c>
      <c r="P5" s="11">
        <f>IFERROR(VLOOKUP(H5,Pivot!$M$2:$P$16,MATCH("€",Pivot!$M$2:$P$2,0),0),0)</f>
        <v>0</v>
      </c>
      <c r="Q5" s="17">
        <f>IFERROR(VLOOKUP(H5,Pivot!R4:S18,2,0),0)</f>
        <v>0</v>
      </c>
    </row>
    <row r="6" spans="1:20" ht="17" customHeight="1" thickBot="1" x14ac:dyDescent="0.25">
      <c r="A6" s="59"/>
      <c r="B6" s="60"/>
      <c r="C6" s="60"/>
      <c r="D6" s="60"/>
      <c r="E6" s="60"/>
      <c r="F6" s="60"/>
      <c r="G6" s="61"/>
      <c r="H6" s="44">
        <f>YEAR(MAX(RaporTablo[[#All],[Çalışma Tarihi]]))-3</f>
        <v>2023</v>
      </c>
      <c r="I6" s="30" t="str">
        <f>IFERROR(VLOOKUP(H6,Pivot!$A$2:$E$16,MATCH("Devam Ediyor",Pivot!$A$2:$E$2,0),0),"0")</f>
        <v>0</v>
      </c>
      <c r="J6" s="31" t="str">
        <f>IFERROR(VLOOKUP(H6,Pivot!$A$2:$E$16,MATCH("Açık",Pivot!$A$2:$E$2,0),0),"0")</f>
        <v>0</v>
      </c>
      <c r="K6" s="32" t="str">
        <f>IFERROR(VLOOKUP(H6,Pivot!$A$2:$E$16,MATCH("Kapalı",Pivot!$A$2:$E$2,0),0),"0")</f>
        <v>0</v>
      </c>
      <c r="L6" s="33" t="str">
        <f>IFERROR(VLOOKUP(H6,Pivot!$A$2:$F$16,6,0),"0")</f>
        <v>0</v>
      </c>
      <c r="M6" s="34">
        <f>IFERROR(VLOOKUP(H6,Pivot!$H$2:$K$16,4,0),0)</f>
        <v>0</v>
      </c>
      <c r="N6" s="35">
        <f>IFERROR(VLOOKUP(H6,Pivot!$M$2:$P$16,MATCH("TL",Pivot!$M$2:$P$2,0),0),0)</f>
        <v>0</v>
      </c>
      <c r="O6" s="36">
        <f>IFERROR(VLOOKUP(H6,Pivot!$M$2:$P$16,MATCH("$",Pivot!$M$2:$P$2,0),0),0)</f>
        <v>0</v>
      </c>
      <c r="P6" s="37">
        <f>IFERROR(VLOOKUP(H6,Pivot!$M$2:$P$16,MATCH("€",Pivot!$M$2:$P$2,0),0),0)</f>
        <v>0</v>
      </c>
      <c r="Q6" s="38">
        <f>IFERROR(VLOOKUP(H6,Pivot!R5:S19,2,0),0)</f>
        <v>0</v>
      </c>
    </row>
    <row r="7" spans="1:20" ht="17" customHeight="1" x14ac:dyDescent="0.2">
      <c r="A7" s="59"/>
      <c r="B7" s="60"/>
      <c r="C7" s="60"/>
      <c r="D7" s="60"/>
      <c r="E7" s="60"/>
      <c r="F7" s="60"/>
      <c r="G7" s="61"/>
      <c r="H7" s="47" t="s">
        <v>11</v>
      </c>
      <c r="I7" s="39">
        <f>IFERROR(VLOOKUP(H7,Pivot!$A$2:$E$16,MATCH("Devam Ediyor",Pivot!$A$2:$E$2,0),0),"0")</f>
        <v>11</v>
      </c>
      <c r="J7" s="40">
        <f>IFERROR(VLOOKUP(H7,Pivot!$A$2:$E$16,MATCH("Açık",Pivot!$A$2:$E$2,0),0),"0")</f>
        <v>53</v>
      </c>
      <c r="K7" s="41">
        <f>IFERROR(VLOOKUP(H7,Pivot!$A$2:$E$16,MATCH("Kapalı",Pivot!$A$2:$E$2,0),0),"0")</f>
        <v>43</v>
      </c>
      <c r="L7" s="48">
        <f>IFERROR(VLOOKUP(H7,Pivot!$A$2:$F$16,6,0),"0")</f>
        <v>0.40186915887850466</v>
      </c>
      <c r="M7" s="49">
        <f>IFERROR(VLOOKUP(H7,Pivot!$H$2:$K$16,4,0),0)</f>
        <v>0.35514018691588783</v>
      </c>
      <c r="N7" s="50">
        <f>IFERROR(VLOOKUP(H7,Pivot!$M$2:$P$16,MATCH("TL",Pivot!$M$2:$P$2,0),0),0)</f>
        <v>0</v>
      </c>
      <c r="O7" s="51">
        <f>IFERROR(VLOOKUP(H7,Pivot!$M$2:$P$16,MATCH("$",Pivot!$M$2:$P$2,0),0),0)</f>
        <v>0</v>
      </c>
      <c r="P7" s="52">
        <f>IFERROR(VLOOKUP(H7,Pivot!$M$2:$P$16,MATCH("€",Pivot!$M$2:$P$2,0),0),0)</f>
        <v>0</v>
      </c>
      <c r="Q7" s="53">
        <f>IFERROR(VLOOKUP(H7,Pivot!R6:S20,2,0),0)</f>
        <v>0</v>
      </c>
    </row>
    <row r="8" spans="1:20" ht="16" x14ac:dyDescent="0.2">
      <c r="A8" s="54" t="s">
        <v>28</v>
      </c>
      <c r="B8" s="55" t="s">
        <v>12</v>
      </c>
      <c r="C8" s="55" t="s">
        <v>13</v>
      </c>
      <c r="D8" s="55" t="s">
        <v>14</v>
      </c>
      <c r="E8" s="55" t="s">
        <v>15</v>
      </c>
      <c r="F8" s="55" t="s">
        <v>16</v>
      </c>
      <c r="G8" s="55" t="s">
        <v>17</v>
      </c>
      <c r="H8" s="55" t="s">
        <v>18</v>
      </c>
      <c r="I8" s="55" t="s">
        <v>19</v>
      </c>
      <c r="J8" s="55" t="s">
        <v>20</v>
      </c>
      <c r="K8" s="55" t="s">
        <v>21</v>
      </c>
      <c r="L8" s="55" t="s">
        <v>22</v>
      </c>
      <c r="M8" s="55" t="s">
        <v>23</v>
      </c>
      <c r="N8" s="55" t="s">
        <v>24</v>
      </c>
      <c r="O8" s="55" t="s">
        <v>25</v>
      </c>
      <c r="P8" s="55" t="s">
        <v>26</v>
      </c>
      <c r="Q8" s="55" t="s">
        <v>10</v>
      </c>
      <c r="R8" s="55" t="s">
        <v>27</v>
      </c>
      <c r="S8" s="55" t="s">
        <v>28</v>
      </c>
      <c r="T8" s="55" t="s">
        <v>29</v>
      </c>
    </row>
    <row r="9" spans="1:20" ht="48" x14ac:dyDescent="0.2">
      <c r="A9" s="45">
        <v>1</v>
      </c>
      <c r="B9" s="7">
        <v>25</v>
      </c>
      <c r="C9" s="8">
        <v>46189</v>
      </c>
      <c r="D9" s="7" t="s">
        <v>36</v>
      </c>
      <c r="E9" s="7" t="s">
        <v>44</v>
      </c>
      <c r="F9" s="7" t="s">
        <v>52</v>
      </c>
      <c r="G9" s="7" t="s">
        <v>44</v>
      </c>
      <c r="H9" s="7" t="s">
        <v>48</v>
      </c>
      <c r="I9" s="7" t="s">
        <v>32</v>
      </c>
      <c r="J9" s="8">
        <v>46195</v>
      </c>
      <c r="K9" s="8">
        <v>46189</v>
      </c>
      <c r="L9" s="7" t="s">
        <v>33</v>
      </c>
      <c r="M9" s="7" t="s">
        <v>36</v>
      </c>
      <c r="O9" s="7" t="s">
        <v>187</v>
      </c>
      <c r="R9" s="7">
        <v>2026</v>
      </c>
      <c r="S9" s="7">
        <v>1</v>
      </c>
      <c r="T9" s="7" t="s">
        <v>53</v>
      </c>
    </row>
    <row r="10" spans="1:20" ht="32" x14ac:dyDescent="0.2">
      <c r="A10" s="7">
        <v>2</v>
      </c>
      <c r="B10" s="7">
        <v>25</v>
      </c>
      <c r="C10" s="8">
        <v>46189</v>
      </c>
      <c r="D10" s="7" t="s">
        <v>188</v>
      </c>
      <c r="E10" s="7" t="s">
        <v>44</v>
      </c>
      <c r="F10" s="7" t="s">
        <v>54</v>
      </c>
      <c r="G10" s="7" t="s">
        <v>44</v>
      </c>
      <c r="H10" s="7" t="s">
        <v>51</v>
      </c>
      <c r="I10" s="7" t="s">
        <v>32</v>
      </c>
      <c r="J10" s="8">
        <v>46195</v>
      </c>
      <c r="K10" s="8">
        <v>46189</v>
      </c>
      <c r="L10" s="7" t="s">
        <v>33</v>
      </c>
      <c r="M10" s="7" t="s">
        <v>189</v>
      </c>
      <c r="O10" s="7" t="s">
        <v>187</v>
      </c>
      <c r="R10" s="7">
        <v>2026</v>
      </c>
      <c r="S10" s="7">
        <v>2</v>
      </c>
      <c r="T10" s="7" t="s">
        <v>190</v>
      </c>
    </row>
    <row r="11" spans="1:20" ht="32" x14ac:dyDescent="0.2">
      <c r="A11" s="96">
        <v>3</v>
      </c>
      <c r="B11" s="7">
        <v>25</v>
      </c>
      <c r="C11" s="8">
        <v>46189</v>
      </c>
      <c r="D11" s="7" t="s">
        <v>188</v>
      </c>
      <c r="E11" s="7" t="s">
        <v>44</v>
      </c>
      <c r="F11" s="7" t="s">
        <v>56</v>
      </c>
      <c r="G11" s="7" t="s">
        <v>44</v>
      </c>
      <c r="H11" s="7" t="s">
        <v>51</v>
      </c>
      <c r="I11" s="7" t="s">
        <v>32</v>
      </c>
      <c r="J11" s="8">
        <v>46195</v>
      </c>
      <c r="K11" s="8">
        <v>46189</v>
      </c>
      <c r="L11" s="7" t="s">
        <v>33</v>
      </c>
      <c r="M11" s="7" t="s">
        <v>189</v>
      </c>
      <c r="O11" s="7" t="s">
        <v>187</v>
      </c>
      <c r="R11" s="7">
        <v>2026</v>
      </c>
      <c r="S11" s="7">
        <v>3</v>
      </c>
      <c r="T11" s="7" t="s">
        <v>190</v>
      </c>
    </row>
    <row r="12" spans="1:20" ht="32" x14ac:dyDescent="0.2">
      <c r="A12" s="7">
        <v>4</v>
      </c>
      <c r="B12" s="7">
        <v>25</v>
      </c>
      <c r="C12" s="8">
        <v>46189</v>
      </c>
      <c r="D12" s="7" t="s">
        <v>57</v>
      </c>
      <c r="E12" s="7" t="s">
        <v>57</v>
      </c>
      <c r="F12" s="7" t="s">
        <v>58</v>
      </c>
      <c r="G12" s="7" t="s">
        <v>39</v>
      </c>
      <c r="H12" s="7" t="s">
        <v>48</v>
      </c>
      <c r="I12" s="7" t="s">
        <v>32</v>
      </c>
      <c r="J12" s="8">
        <v>46196</v>
      </c>
      <c r="K12" s="8">
        <v>46189</v>
      </c>
      <c r="L12" s="7" t="s">
        <v>33</v>
      </c>
      <c r="M12" s="7" t="s">
        <v>57</v>
      </c>
      <c r="O12" s="7" t="s">
        <v>187</v>
      </c>
      <c r="R12" s="7">
        <v>2026</v>
      </c>
      <c r="S12" s="7">
        <v>4</v>
      </c>
      <c r="T12" s="7" t="s">
        <v>59</v>
      </c>
    </row>
    <row r="13" spans="1:20" ht="32" x14ac:dyDescent="0.2">
      <c r="A13" s="97">
        <v>5</v>
      </c>
      <c r="B13" s="7">
        <v>25</v>
      </c>
      <c r="C13" s="8">
        <v>46189</v>
      </c>
      <c r="D13" s="7" t="s">
        <v>40</v>
      </c>
      <c r="E13" s="7" t="s">
        <v>191</v>
      </c>
      <c r="F13" s="7" t="s">
        <v>60</v>
      </c>
      <c r="G13" s="7" t="s">
        <v>39</v>
      </c>
      <c r="H13" s="7" t="s">
        <v>48</v>
      </c>
      <c r="I13" s="7" t="s">
        <v>47</v>
      </c>
      <c r="J13" s="8">
        <v>46189</v>
      </c>
      <c r="K13" s="8">
        <v>46189</v>
      </c>
      <c r="L13" s="7" t="s">
        <v>41</v>
      </c>
      <c r="O13" s="7" t="s">
        <v>187</v>
      </c>
      <c r="R13" s="7">
        <v>2026</v>
      </c>
      <c r="S13" s="7">
        <v>5</v>
      </c>
      <c r="T13" s="7" t="s">
        <v>61</v>
      </c>
    </row>
    <row r="14" spans="1:20" ht="32" x14ac:dyDescent="0.2">
      <c r="A14" s="7">
        <v>6</v>
      </c>
      <c r="B14" s="7">
        <v>25</v>
      </c>
      <c r="C14" s="8">
        <v>46188</v>
      </c>
      <c r="D14" s="7" t="s">
        <v>62</v>
      </c>
      <c r="E14" s="7" t="s">
        <v>44</v>
      </c>
      <c r="F14" s="7" t="s">
        <v>63</v>
      </c>
      <c r="G14" s="7" t="s">
        <v>44</v>
      </c>
      <c r="H14" s="7" t="s">
        <v>46</v>
      </c>
      <c r="I14" s="7" t="s">
        <v>47</v>
      </c>
      <c r="J14" s="8">
        <v>46188</v>
      </c>
      <c r="K14" s="8">
        <v>46188</v>
      </c>
      <c r="L14" s="7" t="s">
        <v>33</v>
      </c>
      <c r="M14" s="7" t="s">
        <v>36</v>
      </c>
      <c r="O14" s="7" t="s">
        <v>187</v>
      </c>
      <c r="R14" s="7">
        <v>2026</v>
      </c>
      <c r="S14" s="7">
        <v>6</v>
      </c>
      <c r="T14" s="7" t="s">
        <v>64</v>
      </c>
    </row>
    <row r="15" spans="1:20" ht="32" x14ac:dyDescent="0.2">
      <c r="A15" s="97">
        <v>7</v>
      </c>
      <c r="B15" s="7">
        <v>24</v>
      </c>
      <c r="C15" s="8">
        <v>46182</v>
      </c>
      <c r="D15" s="7" t="s">
        <v>65</v>
      </c>
      <c r="E15" s="7" t="s">
        <v>44</v>
      </c>
      <c r="F15" s="7" t="s">
        <v>192</v>
      </c>
      <c r="G15" s="7" t="s">
        <v>37</v>
      </c>
      <c r="H15" s="7" t="s">
        <v>31</v>
      </c>
      <c r="I15" s="7" t="s">
        <v>32</v>
      </c>
      <c r="J15" s="8">
        <v>46192</v>
      </c>
      <c r="K15" s="8">
        <v>46182</v>
      </c>
      <c r="L15" s="7" t="s">
        <v>33</v>
      </c>
      <c r="M15" s="7" t="s">
        <v>193</v>
      </c>
      <c r="O15" s="7" t="s">
        <v>187</v>
      </c>
      <c r="R15" s="7">
        <v>2026</v>
      </c>
      <c r="S15" s="7">
        <v>7</v>
      </c>
      <c r="T15" s="7" t="s">
        <v>66</v>
      </c>
    </row>
    <row r="16" spans="1:20" ht="32" x14ac:dyDescent="0.2">
      <c r="A16" s="7">
        <v>8</v>
      </c>
      <c r="B16" s="7">
        <v>24</v>
      </c>
      <c r="C16" s="8">
        <v>46182</v>
      </c>
      <c r="D16" s="7" t="s">
        <v>65</v>
      </c>
      <c r="E16" s="7" t="s">
        <v>44</v>
      </c>
      <c r="F16" s="7" t="s">
        <v>194</v>
      </c>
      <c r="G16" s="7" t="s">
        <v>37</v>
      </c>
      <c r="H16" s="7" t="s">
        <v>31</v>
      </c>
      <c r="I16" s="7" t="s">
        <v>32</v>
      </c>
      <c r="J16" s="8">
        <v>46192</v>
      </c>
      <c r="K16" s="8">
        <v>46182</v>
      </c>
      <c r="L16" s="7" t="s">
        <v>33</v>
      </c>
      <c r="M16" s="7" t="s">
        <v>193</v>
      </c>
      <c r="O16" s="7" t="s">
        <v>187</v>
      </c>
      <c r="R16" s="7">
        <v>2026</v>
      </c>
      <c r="S16" s="7">
        <v>8</v>
      </c>
      <c r="T16" s="7" t="s">
        <v>66</v>
      </c>
    </row>
    <row r="17" spans="1:20" ht="32" x14ac:dyDescent="0.2">
      <c r="A17" s="97">
        <v>9</v>
      </c>
      <c r="B17" s="7">
        <v>24</v>
      </c>
      <c r="C17" s="8">
        <v>46182</v>
      </c>
      <c r="D17" s="7" t="s">
        <v>65</v>
      </c>
      <c r="E17" s="7" t="s">
        <v>44</v>
      </c>
      <c r="F17" s="7" t="s">
        <v>195</v>
      </c>
      <c r="G17" s="7" t="s">
        <v>37</v>
      </c>
      <c r="H17" s="7" t="s">
        <v>31</v>
      </c>
      <c r="I17" s="7" t="s">
        <v>32</v>
      </c>
      <c r="J17" s="8">
        <v>46197</v>
      </c>
      <c r="K17" s="8">
        <v>46182</v>
      </c>
      <c r="L17" s="7" t="s">
        <v>33</v>
      </c>
      <c r="M17" s="7" t="s">
        <v>193</v>
      </c>
      <c r="O17" s="7" t="s">
        <v>187</v>
      </c>
      <c r="R17" s="7">
        <v>2026</v>
      </c>
      <c r="S17" s="7">
        <v>9</v>
      </c>
      <c r="T17" s="7" t="s">
        <v>66</v>
      </c>
    </row>
    <row r="18" spans="1:20" ht="32" x14ac:dyDescent="0.2">
      <c r="A18" s="7">
        <v>10</v>
      </c>
      <c r="B18" s="7">
        <v>24</v>
      </c>
      <c r="C18" s="8">
        <v>46182</v>
      </c>
      <c r="D18" s="7" t="s">
        <v>65</v>
      </c>
      <c r="E18" s="7" t="s">
        <v>44</v>
      </c>
      <c r="F18" s="7" t="s">
        <v>196</v>
      </c>
      <c r="G18" s="7" t="s">
        <v>37</v>
      </c>
      <c r="H18" s="7" t="s">
        <v>31</v>
      </c>
      <c r="I18" s="7" t="s">
        <v>32</v>
      </c>
      <c r="J18" s="8">
        <v>46198</v>
      </c>
      <c r="K18" s="8">
        <v>46182</v>
      </c>
      <c r="L18" s="7" t="s">
        <v>33</v>
      </c>
      <c r="M18" s="7" t="s">
        <v>193</v>
      </c>
      <c r="O18" s="7" t="s">
        <v>187</v>
      </c>
      <c r="R18" s="7">
        <v>2026</v>
      </c>
      <c r="S18" s="7">
        <v>10</v>
      </c>
      <c r="T18" s="7" t="s">
        <v>66</v>
      </c>
    </row>
    <row r="19" spans="1:20" ht="32" x14ac:dyDescent="0.2">
      <c r="A19" s="97">
        <v>11</v>
      </c>
      <c r="B19" s="7">
        <v>24</v>
      </c>
      <c r="C19" s="8">
        <v>46182</v>
      </c>
      <c r="D19" s="7" t="s">
        <v>65</v>
      </c>
      <c r="E19" s="7" t="s">
        <v>44</v>
      </c>
      <c r="F19" s="7" t="s">
        <v>197</v>
      </c>
      <c r="G19" s="7" t="s">
        <v>37</v>
      </c>
      <c r="H19" s="7" t="s">
        <v>35</v>
      </c>
      <c r="I19" s="7" t="s">
        <v>32</v>
      </c>
      <c r="J19" s="8">
        <v>46199</v>
      </c>
      <c r="K19" s="8">
        <v>46182</v>
      </c>
      <c r="L19" s="7" t="s">
        <v>33</v>
      </c>
      <c r="M19" s="7" t="s">
        <v>193</v>
      </c>
      <c r="O19" s="7" t="s">
        <v>187</v>
      </c>
      <c r="R19" s="7">
        <v>2026</v>
      </c>
      <c r="S19" s="7">
        <v>11</v>
      </c>
      <c r="T19" s="7" t="s">
        <v>66</v>
      </c>
    </row>
    <row r="20" spans="1:20" ht="48" x14ac:dyDescent="0.2">
      <c r="A20" s="7">
        <v>12</v>
      </c>
      <c r="B20" s="7">
        <v>24</v>
      </c>
      <c r="C20" s="8">
        <v>46182</v>
      </c>
      <c r="D20" s="7" t="s">
        <v>65</v>
      </c>
      <c r="E20" s="7" t="s">
        <v>44</v>
      </c>
      <c r="F20" s="7" t="s">
        <v>198</v>
      </c>
      <c r="G20" s="7" t="s">
        <v>37</v>
      </c>
      <c r="H20" s="7" t="s">
        <v>35</v>
      </c>
      <c r="I20" s="7" t="s">
        <v>32</v>
      </c>
      <c r="J20" s="8">
        <v>46223</v>
      </c>
      <c r="K20" s="8">
        <v>46182</v>
      </c>
      <c r="L20" s="7" t="s">
        <v>33</v>
      </c>
      <c r="M20" s="7" t="s">
        <v>193</v>
      </c>
      <c r="O20" s="7" t="s">
        <v>187</v>
      </c>
      <c r="R20" s="7">
        <v>2026</v>
      </c>
      <c r="S20" s="7">
        <v>12</v>
      </c>
      <c r="T20" s="7" t="s">
        <v>66</v>
      </c>
    </row>
    <row r="21" spans="1:20" ht="48" x14ac:dyDescent="0.2">
      <c r="A21" s="97">
        <v>13</v>
      </c>
      <c r="B21" s="7">
        <v>24</v>
      </c>
      <c r="C21" s="8">
        <v>46182</v>
      </c>
      <c r="D21" s="7" t="s">
        <v>65</v>
      </c>
      <c r="E21" s="7" t="s">
        <v>44</v>
      </c>
      <c r="F21" s="7" t="s">
        <v>199</v>
      </c>
      <c r="G21" s="7" t="s">
        <v>37</v>
      </c>
      <c r="H21" s="7" t="s">
        <v>35</v>
      </c>
      <c r="I21" s="7" t="s">
        <v>32</v>
      </c>
      <c r="J21" s="8">
        <v>46192</v>
      </c>
      <c r="K21" s="8">
        <v>46182</v>
      </c>
      <c r="L21" s="7" t="s">
        <v>33</v>
      </c>
      <c r="M21" s="7" t="s">
        <v>193</v>
      </c>
      <c r="O21" s="7" t="s">
        <v>187</v>
      </c>
      <c r="R21" s="7">
        <v>2026</v>
      </c>
      <c r="S21" s="7">
        <v>13</v>
      </c>
      <c r="T21" s="7" t="s">
        <v>66</v>
      </c>
    </row>
    <row r="22" spans="1:20" ht="32" x14ac:dyDescent="0.2">
      <c r="A22" s="7">
        <v>14</v>
      </c>
      <c r="B22" s="7">
        <v>24</v>
      </c>
      <c r="C22" s="8">
        <v>46182</v>
      </c>
      <c r="D22" s="7" t="s">
        <v>65</v>
      </c>
      <c r="E22" s="7" t="s">
        <v>44</v>
      </c>
      <c r="F22" s="7" t="s">
        <v>200</v>
      </c>
      <c r="G22" s="7" t="s">
        <v>37</v>
      </c>
      <c r="H22" s="7" t="s">
        <v>35</v>
      </c>
      <c r="I22" s="7" t="s">
        <v>32</v>
      </c>
      <c r="J22" s="8">
        <v>46197</v>
      </c>
      <c r="K22" s="8">
        <v>46182</v>
      </c>
      <c r="L22" s="7" t="s">
        <v>33</v>
      </c>
      <c r="M22" s="7" t="s">
        <v>193</v>
      </c>
      <c r="O22" s="7" t="s">
        <v>187</v>
      </c>
      <c r="R22" s="7">
        <v>2026</v>
      </c>
      <c r="S22" s="7">
        <v>14</v>
      </c>
      <c r="T22" s="7" t="s">
        <v>66</v>
      </c>
    </row>
    <row r="23" spans="1:20" ht="32" x14ac:dyDescent="0.2">
      <c r="A23" s="97">
        <v>15</v>
      </c>
      <c r="B23" s="7">
        <v>24</v>
      </c>
      <c r="C23" s="8">
        <v>46182</v>
      </c>
      <c r="D23" s="7" t="s">
        <v>65</v>
      </c>
      <c r="E23" s="7" t="s">
        <v>44</v>
      </c>
      <c r="F23" s="7" t="s">
        <v>201</v>
      </c>
      <c r="G23" s="7" t="s">
        <v>37</v>
      </c>
      <c r="H23" s="7" t="s">
        <v>35</v>
      </c>
      <c r="I23" s="7" t="s">
        <v>32</v>
      </c>
      <c r="J23" s="8">
        <v>46198</v>
      </c>
      <c r="K23" s="8">
        <v>46182</v>
      </c>
      <c r="L23" s="7" t="s">
        <v>33</v>
      </c>
      <c r="M23" s="7" t="s">
        <v>193</v>
      </c>
      <c r="O23" s="7" t="s">
        <v>187</v>
      </c>
      <c r="R23" s="7">
        <v>2026</v>
      </c>
      <c r="S23" s="7">
        <v>15</v>
      </c>
      <c r="T23" s="7" t="s">
        <v>66</v>
      </c>
    </row>
    <row r="24" spans="1:20" ht="64" x14ac:dyDescent="0.2">
      <c r="A24" s="7">
        <v>16</v>
      </c>
      <c r="B24" s="7">
        <v>24</v>
      </c>
      <c r="C24" s="8">
        <v>46182</v>
      </c>
      <c r="D24" s="7" t="s">
        <v>65</v>
      </c>
      <c r="E24" s="7" t="s">
        <v>44</v>
      </c>
      <c r="F24" s="7" t="s">
        <v>202</v>
      </c>
      <c r="G24" s="7" t="s">
        <v>37</v>
      </c>
      <c r="H24" s="7" t="s">
        <v>35</v>
      </c>
      <c r="I24" s="7" t="s">
        <v>32</v>
      </c>
      <c r="J24" s="8">
        <v>46190</v>
      </c>
      <c r="K24" s="8">
        <v>46182</v>
      </c>
      <c r="L24" s="7" t="s">
        <v>41</v>
      </c>
      <c r="M24" s="7" t="s">
        <v>193</v>
      </c>
      <c r="O24" s="7" t="s">
        <v>187</v>
      </c>
      <c r="R24" s="7">
        <v>2026</v>
      </c>
      <c r="S24" s="7">
        <v>16</v>
      </c>
      <c r="T24" s="7" t="s">
        <v>66</v>
      </c>
    </row>
    <row r="25" spans="1:20" ht="32" x14ac:dyDescent="0.2">
      <c r="A25" s="97">
        <v>17</v>
      </c>
      <c r="B25" s="7">
        <v>24</v>
      </c>
      <c r="C25" s="8">
        <v>46182</v>
      </c>
      <c r="D25" s="7" t="s">
        <v>65</v>
      </c>
      <c r="E25" s="7" t="s">
        <v>44</v>
      </c>
      <c r="F25" s="7" t="s">
        <v>203</v>
      </c>
      <c r="G25" s="7" t="s">
        <v>37</v>
      </c>
      <c r="H25" s="7" t="s">
        <v>31</v>
      </c>
      <c r="I25" s="7" t="s">
        <v>32</v>
      </c>
      <c r="J25" s="8">
        <v>46191</v>
      </c>
      <c r="K25" s="8">
        <v>46182</v>
      </c>
      <c r="L25" s="7" t="s">
        <v>33</v>
      </c>
      <c r="M25" s="7" t="s">
        <v>193</v>
      </c>
      <c r="O25" s="7" t="s">
        <v>187</v>
      </c>
      <c r="R25" s="7">
        <v>2026</v>
      </c>
      <c r="S25" s="7">
        <v>17</v>
      </c>
      <c r="T25" s="7" t="s">
        <v>66</v>
      </c>
    </row>
    <row r="26" spans="1:20" ht="32" x14ac:dyDescent="0.2">
      <c r="A26" s="7">
        <v>18</v>
      </c>
      <c r="B26" s="7">
        <v>24</v>
      </c>
      <c r="C26" s="8">
        <v>46182</v>
      </c>
      <c r="D26" s="7" t="s">
        <v>65</v>
      </c>
      <c r="E26" s="7" t="s">
        <v>44</v>
      </c>
      <c r="F26" s="7" t="s">
        <v>204</v>
      </c>
      <c r="G26" s="7" t="s">
        <v>37</v>
      </c>
      <c r="H26" s="7" t="s">
        <v>51</v>
      </c>
      <c r="I26" s="7" t="s">
        <v>32</v>
      </c>
      <c r="J26" s="8">
        <v>46203</v>
      </c>
      <c r="K26" s="8">
        <v>46182</v>
      </c>
      <c r="L26" s="7" t="s">
        <v>33</v>
      </c>
      <c r="M26" s="7" t="s">
        <v>193</v>
      </c>
      <c r="O26" s="7" t="s">
        <v>187</v>
      </c>
      <c r="R26" s="7">
        <v>2026</v>
      </c>
      <c r="S26" s="7">
        <v>18</v>
      </c>
      <c r="T26" s="7" t="s">
        <v>66</v>
      </c>
    </row>
    <row r="27" spans="1:20" ht="32" x14ac:dyDescent="0.2">
      <c r="A27" s="97">
        <v>19</v>
      </c>
      <c r="B27" s="7">
        <v>24</v>
      </c>
      <c r="C27" s="8">
        <v>46182</v>
      </c>
      <c r="D27" s="7" t="s">
        <v>65</v>
      </c>
      <c r="E27" s="7" t="s">
        <v>44</v>
      </c>
      <c r="F27" s="7" t="s">
        <v>205</v>
      </c>
      <c r="G27" s="7" t="s">
        <v>37</v>
      </c>
      <c r="H27" s="7" t="s">
        <v>51</v>
      </c>
      <c r="I27" s="7" t="s">
        <v>32</v>
      </c>
      <c r="J27" s="8">
        <v>46203</v>
      </c>
      <c r="K27" s="8">
        <v>46182</v>
      </c>
      <c r="L27" s="7" t="s">
        <v>33</v>
      </c>
      <c r="M27" s="7" t="s">
        <v>193</v>
      </c>
      <c r="O27" s="7" t="s">
        <v>187</v>
      </c>
      <c r="R27" s="7">
        <v>2026</v>
      </c>
      <c r="S27" s="7">
        <v>19</v>
      </c>
      <c r="T27" s="7" t="s">
        <v>66</v>
      </c>
    </row>
    <row r="28" spans="1:20" ht="32" x14ac:dyDescent="0.2">
      <c r="A28" s="7">
        <v>20</v>
      </c>
      <c r="B28" s="7">
        <v>24</v>
      </c>
      <c r="C28" s="8">
        <v>46182</v>
      </c>
      <c r="D28" s="7" t="s">
        <v>65</v>
      </c>
      <c r="E28" s="7" t="s">
        <v>44</v>
      </c>
      <c r="F28" s="7" t="s">
        <v>206</v>
      </c>
      <c r="G28" s="7" t="s">
        <v>37</v>
      </c>
      <c r="H28" s="7" t="s">
        <v>31</v>
      </c>
      <c r="I28" s="7" t="s">
        <v>32</v>
      </c>
      <c r="J28" s="8">
        <v>46202</v>
      </c>
      <c r="K28" s="8">
        <v>46182</v>
      </c>
      <c r="L28" s="7" t="s">
        <v>33</v>
      </c>
      <c r="M28" s="7" t="s">
        <v>193</v>
      </c>
      <c r="O28" s="7" t="s">
        <v>187</v>
      </c>
      <c r="R28" s="7">
        <v>2026</v>
      </c>
      <c r="S28" s="7">
        <v>20</v>
      </c>
      <c r="T28" s="7" t="s">
        <v>66</v>
      </c>
    </row>
    <row r="29" spans="1:20" ht="32" x14ac:dyDescent="0.2">
      <c r="A29" s="97">
        <v>21</v>
      </c>
      <c r="B29" s="7">
        <v>24</v>
      </c>
      <c r="C29" s="8">
        <v>46182</v>
      </c>
      <c r="D29" s="7" t="s">
        <v>65</v>
      </c>
      <c r="E29" s="7" t="s">
        <v>44</v>
      </c>
      <c r="F29" s="7" t="s">
        <v>207</v>
      </c>
      <c r="G29" s="7" t="s">
        <v>37</v>
      </c>
      <c r="H29" s="7" t="s">
        <v>51</v>
      </c>
      <c r="I29" s="7" t="s">
        <v>32</v>
      </c>
      <c r="J29" s="8">
        <v>46203</v>
      </c>
      <c r="K29" s="8">
        <v>46182</v>
      </c>
      <c r="L29" s="7" t="s">
        <v>33</v>
      </c>
      <c r="M29" s="7" t="s">
        <v>193</v>
      </c>
      <c r="O29" s="7" t="s">
        <v>187</v>
      </c>
      <c r="R29" s="7">
        <v>2026</v>
      </c>
      <c r="S29" s="7">
        <v>21</v>
      </c>
      <c r="T29" s="7" t="s">
        <v>66</v>
      </c>
    </row>
    <row r="30" spans="1:20" ht="32" x14ac:dyDescent="0.2">
      <c r="A30" s="7">
        <v>22</v>
      </c>
      <c r="B30" s="7">
        <v>24</v>
      </c>
      <c r="C30" s="8">
        <v>46182</v>
      </c>
      <c r="D30" s="7" t="s">
        <v>65</v>
      </c>
      <c r="E30" s="7" t="s">
        <v>44</v>
      </c>
      <c r="F30" s="7" t="s">
        <v>208</v>
      </c>
      <c r="G30" s="7" t="s">
        <v>37</v>
      </c>
      <c r="H30" s="7" t="s">
        <v>31</v>
      </c>
      <c r="I30" s="7" t="s">
        <v>32</v>
      </c>
      <c r="J30" s="8">
        <v>46202</v>
      </c>
      <c r="K30" s="8">
        <v>46182</v>
      </c>
      <c r="L30" s="7" t="s">
        <v>33</v>
      </c>
      <c r="M30" s="7" t="s">
        <v>193</v>
      </c>
      <c r="O30" s="7" t="s">
        <v>187</v>
      </c>
      <c r="R30" s="7">
        <v>2026</v>
      </c>
      <c r="S30" s="7">
        <v>22</v>
      </c>
      <c r="T30" s="7" t="s">
        <v>66</v>
      </c>
    </row>
    <row r="31" spans="1:20" ht="32" x14ac:dyDescent="0.2">
      <c r="A31" s="97">
        <v>23</v>
      </c>
      <c r="B31" s="7">
        <v>24</v>
      </c>
      <c r="C31" s="8">
        <v>46182</v>
      </c>
      <c r="D31" s="7" t="s">
        <v>209</v>
      </c>
      <c r="E31" s="7" t="s">
        <v>44</v>
      </c>
      <c r="F31" s="7" t="s">
        <v>67</v>
      </c>
      <c r="G31" s="7" t="s">
        <v>49</v>
      </c>
      <c r="H31" s="7" t="s">
        <v>46</v>
      </c>
      <c r="I31" s="7" t="s">
        <v>47</v>
      </c>
      <c r="J31" s="8">
        <v>46182</v>
      </c>
      <c r="K31" s="8">
        <v>46182</v>
      </c>
      <c r="L31" s="7" t="s">
        <v>41</v>
      </c>
      <c r="M31" s="7" t="s">
        <v>210</v>
      </c>
      <c r="O31" s="7" t="s">
        <v>187</v>
      </c>
      <c r="R31" s="7">
        <v>2026</v>
      </c>
      <c r="S31" s="7">
        <v>23</v>
      </c>
      <c r="T31" s="7" t="s">
        <v>211</v>
      </c>
    </row>
    <row r="32" spans="1:20" ht="32" x14ac:dyDescent="0.2">
      <c r="A32" s="7">
        <v>24</v>
      </c>
      <c r="B32" s="7">
        <v>23</v>
      </c>
      <c r="C32" s="8">
        <v>46175</v>
      </c>
      <c r="D32" s="7" t="s">
        <v>40</v>
      </c>
      <c r="E32" s="7" t="s">
        <v>191</v>
      </c>
      <c r="F32" s="7" t="s">
        <v>68</v>
      </c>
      <c r="G32" s="7" t="s">
        <v>42</v>
      </c>
      <c r="H32" s="7" t="s">
        <v>45</v>
      </c>
      <c r="I32" s="7" t="s">
        <v>32</v>
      </c>
      <c r="J32" s="8">
        <v>46182</v>
      </c>
      <c r="K32" s="8">
        <v>46175</v>
      </c>
      <c r="L32" s="7" t="s">
        <v>41</v>
      </c>
      <c r="M32" s="7" t="s">
        <v>212</v>
      </c>
      <c r="O32" s="7" t="s">
        <v>187</v>
      </c>
      <c r="R32" s="7">
        <v>2026</v>
      </c>
      <c r="S32" s="7">
        <v>24</v>
      </c>
      <c r="T32" s="7" t="s">
        <v>69</v>
      </c>
    </row>
    <row r="33" spans="1:20" ht="32" x14ac:dyDescent="0.2">
      <c r="A33" s="97">
        <v>25</v>
      </c>
      <c r="B33" s="7">
        <v>23</v>
      </c>
      <c r="C33" s="8">
        <v>46175</v>
      </c>
      <c r="D33" s="7" t="s">
        <v>62</v>
      </c>
      <c r="E33" s="7" t="s">
        <v>44</v>
      </c>
      <c r="F33" s="7" t="s">
        <v>70</v>
      </c>
      <c r="G33" s="7" t="s">
        <v>39</v>
      </c>
      <c r="H33" s="7" t="s">
        <v>45</v>
      </c>
      <c r="I33" s="7" t="s">
        <v>32</v>
      </c>
      <c r="J33" s="8">
        <v>46182</v>
      </c>
      <c r="K33" s="8">
        <v>46175</v>
      </c>
      <c r="L33" s="7" t="s">
        <v>41</v>
      </c>
      <c r="M33" s="7" t="s">
        <v>62</v>
      </c>
      <c r="O33" s="7" t="s">
        <v>187</v>
      </c>
      <c r="R33" s="7">
        <v>2026</v>
      </c>
      <c r="S33" s="7">
        <v>25</v>
      </c>
      <c r="T33" s="7" t="s">
        <v>71</v>
      </c>
    </row>
    <row r="34" spans="1:20" ht="32" x14ac:dyDescent="0.2">
      <c r="A34" s="7">
        <v>26</v>
      </c>
      <c r="B34" s="7">
        <v>23</v>
      </c>
      <c r="C34" s="8">
        <v>46175</v>
      </c>
      <c r="D34" s="7" t="s">
        <v>62</v>
      </c>
      <c r="E34" s="7" t="s">
        <v>44</v>
      </c>
      <c r="F34" s="7" t="s">
        <v>72</v>
      </c>
      <c r="G34" s="7" t="s">
        <v>44</v>
      </c>
      <c r="H34" s="7" t="s">
        <v>45</v>
      </c>
      <c r="I34" s="7" t="s">
        <v>32</v>
      </c>
      <c r="J34" s="8">
        <v>46182</v>
      </c>
      <c r="K34" s="8">
        <v>46175</v>
      </c>
      <c r="L34" s="7" t="s">
        <v>41</v>
      </c>
      <c r="M34" s="7" t="s">
        <v>62</v>
      </c>
      <c r="O34" s="7" t="s">
        <v>187</v>
      </c>
      <c r="R34" s="7">
        <v>2026</v>
      </c>
      <c r="S34" s="7">
        <v>26</v>
      </c>
      <c r="T34" s="7" t="s">
        <v>71</v>
      </c>
    </row>
    <row r="35" spans="1:20" ht="32" x14ac:dyDescent="0.2">
      <c r="A35" s="97">
        <v>27</v>
      </c>
      <c r="B35" s="7">
        <v>23</v>
      </c>
      <c r="C35" s="8">
        <v>46175</v>
      </c>
      <c r="D35" s="7" t="s">
        <v>65</v>
      </c>
      <c r="E35" s="7" t="s">
        <v>44</v>
      </c>
      <c r="F35" s="7" t="s">
        <v>73</v>
      </c>
      <c r="G35" s="7" t="s">
        <v>37</v>
      </c>
      <c r="H35" s="7" t="s">
        <v>35</v>
      </c>
      <c r="I35" s="7" t="s">
        <v>32</v>
      </c>
      <c r="J35" s="8">
        <v>46181</v>
      </c>
      <c r="K35" s="8">
        <v>46175</v>
      </c>
      <c r="L35" s="7" t="s">
        <v>41</v>
      </c>
      <c r="M35" s="7" t="s">
        <v>65</v>
      </c>
      <c r="O35" s="7" t="s">
        <v>187</v>
      </c>
      <c r="R35" s="7">
        <v>2026</v>
      </c>
      <c r="S35" s="7">
        <v>27</v>
      </c>
      <c r="T35" s="7" t="s">
        <v>74</v>
      </c>
    </row>
    <row r="36" spans="1:20" ht="32" x14ac:dyDescent="0.2">
      <c r="A36" s="7">
        <v>28</v>
      </c>
      <c r="B36" s="7">
        <v>23</v>
      </c>
      <c r="C36" s="8">
        <v>46175</v>
      </c>
      <c r="D36" s="7" t="s">
        <v>213</v>
      </c>
      <c r="E36" s="7" t="s">
        <v>214</v>
      </c>
      <c r="F36" s="7" t="s">
        <v>75</v>
      </c>
      <c r="G36" s="7" t="s">
        <v>215</v>
      </c>
      <c r="H36" s="7" t="s">
        <v>51</v>
      </c>
      <c r="I36" s="7" t="s">
        <v>32</v>
      </c>
      <c r="J36" s="8">
        <v>46181</v>
      </c>
      <c r="K36" s="8">
        <v>46175</v>
      </c>
      <c r="L36" s="7" t="s">
        <v>41</v>
      </c>
      <c r="M36" s="7" t="s">
        <v>216</v>
      </c>
      <c r="O36" s="7" t="s">
        <v>187</v>
      </c>
      <c r="R36" s="7">
        <v>2026</v>
      </c>
      <c r="S36" s="7">
        <v>28</v>
      </c>
      <c r="T36" s="7" t="s">
        <v>217</v>
      </c>
    </row>
    <row r="37" spans="1:20" ht="32" x14ac:dyDescent="0.2">
      <c r="A37" s="97">
        <v>29</v>
      </c>
      <c r="B37" s="7">
        <v>21</v>
      </c>
      <c r="C37" s="8">
        <v>46160</v>
      </c>
      <c r="D37" s="7" t="s">
        <v>40</v>
      </c>
      <c r="E37" s="7" t="s">
        <v>44</v>
      </c>
      <c r="F37" s="7" t="s">
        <v>76</v>
      </c>
      <c r="G37" s="7" t="s">
        <v>39</v>
      </c>
      <c r="H37" s="7" t="s">
        <v>46</v>
      </c>
      <c r="I37" s="7" t="s">
        <v>47</v>
      </c>
      <c r="J37" s="8">
        <v>46160</v>
      </c>
      <c r="K37" s="8">
        <v>46160</v>
      </c>
      <c r="L37" s="7" t="s">
        <v>33</v>
      </c>
      <c r="M37" s="7" t="s">
        <v>218</v>
      </c>
      <c r="O37" s="7" t="s">
        <v>187</v>
      </c>
      <c r="R37" s="7">
        <v>2026</v>
      </c>
      <c r="S37" s="7">
        <v>29</v>
      </c>
      <c r="T37" s="7" t="s">
        <v>77</v>
      </c>
    </row>
    <row r="38" spans="1:20" ht="32" x14ac:dyDescent="0.2">
      <c r="A38" s="7">
        <v>30</v>
      </c>
      <c r="B38" s="7">
        <v>20</v>
      </c>
      <c r="C38" s="8">
        <v>46154</v>
      </c>
      <c r="D38" s="7" t="s">
        <v>40</v>
      </c>
      <c r="E38" s="7" t="s">
        <v>78</v>
      </c>
      <c r="F38" s="7" t="s">
        <v>79</v>
      </c>
      <c r="G38" s="7" t="s">
        <v>39</v>
      </c>
      <c r="H38" s="7" t="s">
        <v>45</v>
      </c>
      <c r="I38" s="7" t="s">
        <v>32</v>
      </c>
      <c r="J38" s="8">
        <v>46160</v>
      </c>
      <c r="K38" s="8">
        <v>46154</v>
      </c>
      <c r="L38" s="7" t="s">
        <v>41</v>
      </c>
      <c r="M38" s="7" t="s">
        <v>219</v>
      </c>
      <c r="O38" s="7" t="s">
        <v>187</v>
      </c>
      <c r="R38" s="7">
        <v>2026</v>
      </c>
      <c r="S38" s="7">
        <v>30</v>
      </c>
      <c r="T38" s="7" t="s">
        <v>80</v>
      </c>
    </row>
    <row r="39" spans="1:20" ht="32" x14ac:dyDescent="0.2">
      <c r="A39" s="97">
        <v>31</v>
      </c>
      <c r="B39" s="7">
        <v>20</v>
      </c>
      <c r="C39" s="8">
        <v>46154</v>
      </c>
      <c r="D39" s="7" t="s">
        <v>40</v>
      </c>
      <c r="E39" s="7" t="s">
        <v>78</v>
      </c>
      <c r="F39" s="7" t="s">
        <v>81</v>
      </c>
      <c r="G39" s="7" t="s">
        <v>39</v>
      </c>
      <c r="H39" s="7" t="s">
        <v>31</v>
      </c>
      <c r="I39" s="7" t="s">
        <v>32</v>
      </c>
      <c r="J39" s="8">
        <v>46160</v>
      </c>
      <c r="K39" s="8">
        <v>46154</v>
      </c>
      <c r="L39" s="7" t="s">
        <v>41</v>
      </c>
      <c r="M39" s="7" t="s">
        <v>219</v>
      </c>
      <c r="O39" s="7" t="s">
        <v>187</v>
      </c>
      <c r="R39" s="7">
        <v>2026</v>
      </c>
      <c r="S39" s="7">
        <v>31</v>
      </c>
      <c r="T39" s="7" t="s">
        <v>80</v>
      </c>
    </row>
    <row r="40" spans="1:20" ht="32" x14ac:dyDescent="0.2">
      <c r="A40" s="7">
        <v>32</v>
      </c>
      <c r="B40" s="7">
        <v>20</v>
      </c>
      <c r="C40" s="8">
        <v>46154</v>
      </c>
      <c r="D40" s="7" t="s">
        <v>30</v>
      </c>
      <c r="E40" s="7" t="s">
        <v>30</v>
      </c>
      <c r="F40" s="7" t="s">
        <v>82</v>
      </c>
      <c r="G40" s="7" t="s">
        <v>30</v>
      </c>
      <c r="H40" s="7" t="s">
        <v>35</v>
      </c>
      <c r="I40" s="7" t="s">
        <v>32</v>
      </c>
      <c r="J40" s="8">
        <v>46160</v>
      </c>
      <c r="K40" s="8">
        <v>46154</v>
      </c>
      <c r="L40" s="7" t="s">
        <v>41</v>
      </c>
      <c r="M40" s="7" t="s">
        <v>220</v>
      </c>
      <c r="O40" s="7" t="s">
        <v>187</v>
      </c>
      <c r="R40" s="7">
        <v>2026</v>
      </c>
      <c r="S40" s="7">
        <v>32</v>
      </c>
      <c r="T40" s="7" t="s">
        <v>83</v>
      </c>
    </row>
    <row r="41" spans="1:20" ht="32" x14ac:dyDescent="0.2">
      <c r="A41" s="97">
        <v>33</v>
      </c>
      <c r="B41" s="7">
        <v>20</v>
      </c>
      <c r="C41" s="8">
        <v>46154</v>
      </c>
      <c r="D41" s="7" t="s">
        <v>30</v>
      </c>
      <c r="E41" s="7" t="s">
        <v>30</v>
      </c>
      <c r="F41" s="7" t="s">
        <v>84</v>
      </c>
      <c r="G41" s="7" t="s">
        <v>30</v>
      </c>
      <c r="H41" s="7" t="s">
        <v>43</v>
      </c>
      <c r="I41" s="7" t="s">
        <v>32</v>
      </c>
      <c r="J41" s="8">
        <v>46160</v>
      </c>
      <c r="K41" s="8">
        <v>46154</v>
      </c>
      <c r="L41" s="7" t="s">
        <v>41</v>
      </c>
      <c r="M41" s="7" t="s">
        <v>221</v>
      </c>
      <c r="O41" s="7" t="s">
        <v>187</v>
      </c>
      <c r="R41" s="7">
        <v>2026</v>
      </c>
      <c r="S41" s="7">
        <v>33</v>
      </c>
      <c r="T41" s="7" t="s">
        <v>83</v>
      </c>
    </row>
    <row r="42" spans="1:20" ht="32" x14ac:dyDescent="0.2">
      <c r="A42" s="7">
        <v>34</v>
      </c>
      <c r="B42" s="7">
        <v>20</v>
      </c>
      <c r="C42" s="8">
        <v>46154</v>
      </c>
      <c r="D42" s="7" t="s">
        <v>30</v>
      </c>
      <c r="E42" s="7" t="s">
        <v>30</v>
      </c>
      <c r="F42" s="7" t="s">
        <v>85</v>
      </c>
      <c r="G42" s="7" t="s">
        <v>30</v>
      </c>
      <c r="H42" s="7" t="s">
        <v>43</v>
      </c>
      <c r="I42" s="7" t="s">
        <v>32</v>
      </c>
      <c r="J42" s="8">
        <v>46160</v>
      </c>
      <c r="K42" s="8">
        <v>46154</v>
      </c>
      <c r="L42" s="7" t="s">
        <v>41</v>
      </c>
      <c r="M42" s="7" t="s">
        <v>222</v>
      </c>
      <c r="O42" s="7" t="s">
        <v>187</v>
      </c>
      <c r="R42" s="7">
        <v>2026</v>
      </c>
      <c r="S42" s="7">
        <v>34</v>
      </c>
      <c r="T42" s="7" t="s">
        <v>83</v>
      </c>
    </row>
    <row r="43" spans="1:20" ht="32" x14ac:dyDescent="0.2">
      <c r="A43" s="97">
        <v>35</v>
      </c>
      <c r="B43" s="7">
        <v>20</v>
      </c>
      <c r="C43" s="8">
        <v>46154</v>
      </c>
      <c r="D43" s="7" t="s">
        <v>30</v>
      </c>
      <c r="E43" s="7" t="s">
        <v>30</v>
      </c>
      <c r="F43" s="7" t="s">
        <v>86</v>
      </c>
      <c r="G43" s="7" t="s">
        <v>30</v>
      </c>
      <c r="H43" s="7" t="s">
        <v>43</v>
      </c>
      <c r="I43" s="7" t="s">
        <v>32</v>
      </c>
      <c r="J43" s="8">
        <v>46160</v>
      </c>
      <c r="K43" s="8">
        <v>46154</v>
      </c>
      <c r="L43" s="7" t="s">
        <v>41</v>
      </c>
      <c r="M43" s="7" t="s">
        <v>223</v>
      </c>
      <c r="O43" s="7" t="s">
        <v>187</v>
      </c>
      <c r="R43" s="7">
        <v>2026</v>
      </c>
      <c r="S43" s="7">
        <v>35</v>
      </c>
      <c r="T43" s="7" t="s">
        <v>83</v>
      </c>
    </row>
    <row r="44" spans="1:20" ht="32" x14ac:dyDescent="0.2">
      <c r="A44" s="7">
        <v>36</v>
      </c>
      <c r="B44" s="7">
        <v>20</v>
      </c>
      <c r="C44" s="8">
        <v>46154</v>
      </c>
      <c r="D44" s="7" t="s">
        <v>30</v>
      </c>
      <c r="E44" s="7" t="s">
        <v>30</v>
      </c>
      <c r="F44" s="7" t="s">
        <v>224</v>
      </c>
      <c r="G44" s="7" t="s">
        <v>30</v>
      </c>
      <c r="H44" s="7" t="s">
        <v>31</v>
      </c>
      <c r="I44" s="7" t="s">
        <v>32</v>
      </c>
      <c r="J44" s="8">
        <v>46160</v>
      </c>
      <c r="K44" s="8">
        <v>46154</v>
      </c>
      <c r="L44" s="7" t="s">
        <v>41</v>
      </c>
      <c r="M44" s="7" t="s">
        <v>225</v>
      </c>
      <c r="O44" s="7" t="s">
        <v>187</v>
      </c>
      <c r="R44" s="7">
        <v>2026</v>
      </c>
      <c r="S44" s="7">
        <v>36</v>
      </c>
      <c r="T44" s="7" t="s">
        <v>83</v>
      </c>
    </row>
    <row r="45" spans="1:20" ht="48" x14ac:dyDescent="0.2">
      <c r="A45" s="97">
        <v>37</v>
      </c>
      <c r="B45" s="7">
        <v>20</v>
      </c>
      <c r="C45" s="8">
        <v>46154</v>
      </c>
      <c r="D45" s="7" t="s">
        <v>30</v>
      </c>
      <c r="E45" s="7" t="s">
        <v>30</v>
      </c>
      <c r="F45" s="7" t="s">
        <v>87</v>
      </c>
      <c r="G45" s="7" t="s">
        <v>30</v>
      </c>
      <c r="H45" s="7" t="s">
        <v>35</v>
      </c>
      <c r="I45" s="7" t="s">
        <v>32</v>
      </c>
      <c r="J45" s="8">
        <v>46202</v>
      </c>
      <c r="K45" s="8">
        <v>46154</v>
      </c>
      <c r="L45" s="7" t="s">
        <v>33</v>
      </c>
      <c r="M45" s="7" t="s">
        <v>226</v>
      </c>
      <c r="O45" s="7" t="s">
        <v>187</v>
      </c>
      <c r="R45" s="7">
        <v>2026</v>
      </c>
      <c r="S45" s="7">
        <v>37</v>
      </c>
      <c r="T45" s="7" t="s">
        <v>83</v>
      </c>
    </row>
    <row r="46" spans="1:20" ht="32" x14ac:dyDescent="0.2">
      <c r="A46" s="7">
        <v>38</v>
      </c>
      <c r="B46" s="7">
        <v>18</v>
      </c>
      <c r="C46" s="8">
        <v>46140</v>
      </c>
      <c r="D46" s="7" t="s">
        <v>88</v>
      </c>
      <c r="E46" s="7" t="s">
        <v>44</v>
      </c>
      <c r="F46" s="7" t="s">
        <v>89</v>
      </c>
      <c r="G46" s="7" t="s">
        <v>44</v>
      </c>
      <c r="H46" s="7" t="s">
        <v>35</v>
      </c>
      <c r="I46" s="7" t="s">
        <v>47</v>
      </c>
      <c r="J46" s="8">
        <v>46147</v>
      </c>
      <c r="K46" s="8">
        <v>46140</v>
      </c>
      <c r="L46" s="7" t="s">
        <v>41</v>
      </c>
      <c r="M46" s="7" t="s">
        <v>227</v>
      </c>
      <c r="O46" s="7" t="s">
        <v>187</v>
      </c>
      <c r="R46" s="7">
        <v>2026</v>
      </c>
      <c r="S46" s="7">
        <v>38</v>
      </c>
      <c r="T46" s="7" t="s">
        <v>90</v>
      </c>
    </row>
    <row r="47" spans="1:20" ht="32" x14ac:dyDescent="0.2">
      <c r="A47" s="97">
        <v>39</v>
      </c>
      <c r="B47" s="7">
        <v>18</v>
      </c>
      <c r="C47" s="8">
        <v>46140</v>
      </c>
      <c r="D47" s="7" t="s">
        <v>88</v>
      </c>
      <c r="E47" s="7" t="s">
        <v>44</v>
      </c>
      <c r="F47" s="7" t="s">
        <v>91</v>
      </c>
      <c r="G47" s="7" t="s">
        <v>44</v>
      </c>
      <c r="H47" s="7" t="s">
        <v>50</v>
      </c>
      <c r="I47" s="7" t="s">
        <v>47</v>
      </c>
      <c r="J47" s="8">
        <v>46147</v>
      </c>
      <c r="K47" s="8">
        <v>46140</v>
      </c>
      <c r="L47" s="7" t="s">
        <v>41</v>
      </c>
      <c r="M47" s="7" t="s">
        <v>227</v>
      </c>
      <c r="O47" s="7" t="s">
        <v>187</v>
      </c>
      <c r="R47" s="7">
        <v>2026</v>
      </c>
      <c r="S47" s="7">
        <v>39</v>
      </c>
      <c r="T47" s="7" t="s">
        <v>90</v>
      </c>
    </row>
    <row r="48" spans="1:20" ht="32" x14ac:dyDescent="0.2">
      <c r="A48" s="7">
        <v>40</v>
      </c>
      <c r="B48" s="7">
        <v>18</v>
      </c>
      <c r="C48" s="8">
        <v>46140</v>
      </c>
      <c r="D48" s="7" t="s">
        <v>88</v>
      </c>
      <c r="E48" s="7" t="s">
        <v>44</v>
      </c>
      <c r="F48" s="7" t="s">
        <v>92</v>
      </c>
      <c r="G48" s="7" t="s">
        <v>44</v>
      </c>
      <c r="H48" s="7" t="s">
        <v>35</v>
      </c>
      <c r="I48" s="7" t="s">
        <v>55</v>
      </c>
      <c r="J48" s="8">
        <v>46154</v>
      </c>
      <c r="K48" s="8">
        <v>46140</v>
      </c>
      <c r="L48" s="7" t="s">
        <v>41</v>
      </c>
      <c r="M48" s="7" t="s">
        <v>227</v>
      </c>
      <c r="O48" s="7" t="s">
        <v>187</v>
      </c>
      <c r="R48" s="7">
        <v>2026</v>
      </c>
      <c r="S48" s="7">
        <v>40</v>
      </c>
      <c r="T48" s="7" t="s">
        <v>90</v>
      </c>
    </row>
    <row r="49" spans="1:20" ht="32" x14ac:dyDescent="0.2">
      <c r="A49" s="97">
        <v>41</v>
      </c>
      <c r="B49" s="7">
        <v>18</v>
      </c>
      <c r="C49" s="8">
        <v>46140</v>
      </c>
      <c r="D49" s="7" t="s">
        <v>213</v>
      </c>
      <c r="E49" s="7" t="s">
        <v>44</v>
      </c>
      <c r="F49" s="7" t="s">
        <v>93</v>
      </c>
      <c r="G49" s="7" t="s">
        <v>44</v>
      </c>
      <c r="H49" s="7" t="s">
        <v>48</v>
      </c>
      <c r="I49" s="7" t="s">
        <v>47</v>
      </c>
      <c r="J49" s="8">
        <v>46147</v>
      </c>
      <c r="K49" s="8">
        <v>46140</v>
      </c>
      <c r="L49" s="7" t="s">
        <v>41</v>
      </c>
      <c r="O49" s="7" t="s">
        <v>187</v>
      </c>
      <c r="R49" s="7">
        <v>2026</v>
      </c>
      <c r="S49" s="7">
        <v>41</v>
      </c>
      <c r="T49" s="7" t="s">
        <v>228</v>
      </c>
    </row>
    <row r="50" spans="1:20" ht="32" x14ac:dyDescent="0.2">
      <c r="A50" s="7">
        <v>42</v>
      </c>
      <c r="B50" s="7">
        <v>18</v>
      </c>
      <c r="C50" s="8">
        <v>46139</v>
      </c>
      <c r="D50" s="7" t="s">
        <v>30</v>
      </c>
      <c r="E50" s="7" t="s">
        <v>30</v>
      </c>
      <c r="F50" s="7" t="s">
        <v>94</v>
      </c>
      <c r="G50" s="7" t="s">
        <v>30</v>
      </c>
      <c r="H50" s="7" t="s">
        <v>35</v>
      </c>
      <c r="I50" s="7" t="s">
        <v>32</v>
      </c>
      <c r="J50" s="8">
        <v>46154</v>
      </c>
      <c r="K50" s="8">
        <v>46139</v>
      </c>
      <c r="L50" s="7" t="s">
        <v>41</v>
      </c>
      <c r="M50" s="7" t="s">
        <v>229</v>
      </c>
      <c r="O50" s="7" t="s">
        <v>187</v>
      </c>
      <c r="R50" s="7">
        <v>2026</v>
      </c>
      <c r="S50" s="7">
        <v>42</v>
      </c>
      <c r="T50" s="7" t="s">
        <v>95</v>
      </c>
    </row>
    <row r="51" spans="1:20" ht="32" x14ac:dyDescent="0.2">
      <c r="A51" s="97">
        <v>43</v>
      </c>
      <c r="B51" s="7">
        <v>18</v>
      </c>
      <c r="C51" s="8">
        <v>46139</v>
      </c>
      <c r="D51" s="7" t="s">
        <v>30</v>
      </c>
      <c r="E51" s="7" t="s">
        <v>30</v>
      </c>
      <c r="F51" s="7" t="s">
        <v>96</v>
      </c>
      <c r="G51" s="7" t="s">
        <v>30</v>
      </c>
      <c r="H51" s="7" t="s">
        <v>35</v>
      </c>
      <c r="I51" s="7" t="s">
        <v>32</v>
      </c>
      <c r="J51" s="8">
        <v>46154</v>
      </c>
      <c r="K51" s="8">
        <v>46139</v>
      </c>
      <c r="L51" s="7" t="s">
        <v>41</v>
      </c>
      <c r="M51" s="7" t="s">
        <v>229</v>
      </c>
      <c r="O51" s="7" t="s">
        <v>187</v>
      </c>
      <c r="R51" s="7">
        <v>2026</v>
      </c>
      <c r="S51" s="7">
        <v>43</v>
      </c>
      <c r="T51" s="7" t="s">
        <v>95</v>
      </c>
    </row>
    <row r="52" spans="1:20" ht="32" x14ac:dyDescent="0.2">
      <c r="A52" s="7">
        <v>44</v>
      </c>
      <c r="B52" s="7">
        <v>18</v>
      </c>
      <c r="C52" s="8">
        <v>46139</v>
      </c>
      <c r="D52" s="7" t="s">
        <v>30</v>
      </c>
      <c r="E52" s="7" t="s">
        <v>30</v>
      </c>
      <c r="F52" s="7" t="s">
        <v>97</v>
      </c>
      <c r="G52" s="7" t="s">
        <v>30</v>
      </c>
      <c r="H52" s="7" t="s">
        <v>35</v>
      </c>
      <c r="I52" s="7" t="s">
        <v>32</v>
      </c>
      <c r="J52" s="8">
        <v>46154</v>
      </c>
      <c r="K52" s="8">
        <v>46139</v>
      </c>
      <c r="L52" s="7" t="s">
        <v>41</v>
      </c>
      <c r="M52" s="7" t="s">
        <v>229</v>
      </c>
      <c r="O52" s="7" t="s">
        <v>187</v>
      </c>
      <c r="R52" s="7">
        <v>2026</v>
      </c>
      <c r="S52" s="7">
        <v>44</v>
      </c>
      <c r="T52" s="7" t="s">
        <v>95</v>
      </c>
    </row>
    <row r="53" spans="1:20" ht="32" x14ac:dyDescent="0.2">
      <c r="A53" s="97">
        <v>45</v>
      </c>
      <c r="B53" s="7">
        <v>18</v>
      </c>
      <c r="C53" s="8">
        <v>46139</v>
      </c>
      <c r="D53" s="7" t="s">
        <v>98</v>
      </c>
      <c r="E53" s="7" t="s">
        <v>30</v>
      </c>
      <c r="F53" s="7" t="s">
        <v>99</v>
      </c>
      <c r="G53" s="7" t="s">
        <v>30</v>
      </c>
      <c r="H53" s="7" t="s">
        <v>35</v>
      </c>
      <c r="I53" s="7" t="s">
        <v>32</v>
      </c>
      <c r="J53" s="8">
        <v>46147</v>
      </c>
      <c r="K53" s="8">
        <v>46139</v>
      </c>
      <c r="L53" s="7" t="s">
        <v>41</v>
      </c>
      <c r="M53" s="7" t="s">
        <v>229</v>
      </c>
      <c r="O53" s="7" t="s">
        <v>187</v>
      </c>
      <c r="R53" s="7">
        <v>2026</v>
      </c>
      <c r="S53" s="7">
        <v>45</v>
      </c>
      <c r="T53" s="7" t="s">
        <v>100</v>
      </c>
    </row>
    <row r="54" spans="1:20" ht="32" x14ac:dyDescent="0.2">
      <c r="A54" s="7">
        <v>46</v>
      </c>
      <c r="B54" s="7">
        <v>18</v>
      </c>
      <c r="C54" s="8">
        <v>46139</v>
      </c>
      <c r="D54" s="7" t="s">
        <v>98</v>
      </c>
      <c r="E54" s="7" t="s">
        <v>30</v>
      </c>
      <c r="F54" s="7" t="s">
        <v>101</v>
      </c>
      <c r="G54" s="7" t="s">
        <v>30</v>
      </c>
      <c r="H54" s="7" t="s">
        <v>35</v>
      </c>
      <c r="I54" s="7" t="s">
        <v>32</v>
      </c>
      <c r="J54" s="8">
        <v>46147</v>
      </c>
      <c r="K54" s="8">
        <v>46139</v>
      </c>
      <c r="L54" s="7" t="s">
        <v>41</v>
      </c>
      <c r="M54" s="7" t="s">
        <v>229</v>
      </c>
      <c r="O54" s="7" t="s">
        <v>187</v>
      </c>
      <c r="R54" s="7">
        <v>2026</v>
      </c>
      <c r="S54" s="7">
        <v>46</v>
      </c>
      <c r="T54" s="7" t="s">
        <v>100</v>
      </c>
    </row>
    <row r="55" spans="1:20" ht="32" x14ac:dyDescent="0.2">
      <c r="A55" s="97">
        <v>47</v>
      </c>
      <c r="B55" s="7">
        <v>18</v>
      </c>
      <c r="C55" s="8">
        <v>46139</v>
      </c>
      <c r="D55" s="7" t="s">
        <v>30</v>
      </c>
      <c r="E55" s="7" t="s">
        <v>30</v>
      </c>
      <c r="F55" s="7" t="s">
        <v>102</v>
      </c>
      <c r="G55" s="7" t="s">
        <v>30</v>
      </c>
      <c r="H55" s="7" t="s">
        <v>43</v>
      </c>
      <c r="I55" s="7" t="s">
        <v>32</v>
      </c>
      <c r="J55" s="8">
        <v>46147</v>
      </c>
      <c r="K55" s="8">
        <v>46139</v>
      </c>
      <c r="L55" s="7" t="s">
        <v>41</v>
      </c>
      <c r="M55" s="7" t="s">
        <v>229</v>
      </c>
      <c r="O55" s="7" t="s">
        <v>187</v>
      </c>
      <c r="R55" s="7">
        <v>2026</v>
      </c>
      <c r="S55" s="7">
        <v>47</v>
      </c>
      <c r="T55" s="7" t="s">
        <v>95</v>
      </c>
    </row>
    <row r="56" spans="1:20" ht="32" x14ac:dyDescent="0.2">
      <c r="A56" s="7">
        <v>48</v>
      </c>
      <c r="B56" s="7">
        <v>18</v>
      </c>
      <c r="C56" s="8">
        <v>46139</v>
      </c>
      <c r="D56" s="7" t="s">
        <v>30</v>
      </c>
      <c r="E56" s="7" t="s">
        <v>30</v>
      </c>
      <c r="F56" s="7" t="s">
        <v>103</v>
      </c>
      <c r="G56" s="7" t="s">
        <v>30</v>
      </c>
      <c r="H56" s="7" t="s">
        <v>34</v>
      </c>
      <c r="I56" s="7" t="s">
        <v>32</v>
      </c>
      <c r="J56" s="8">
        <v>46147</v>
      </c>
      <c r="K56" s="8">
        <v>46139</v>
      </c>
      <c r="L56" s="7" t="s">
        <v>41</v>
      </c>
      <c r="M56" s="7" t="s">
        <v>229</v>
      </c>
      <c r="O56" s="7" t="s">
        <v>187</v>
      </c>
      <c r="R56" s="7">
        <v>2026</v>
      </c>
      <c r="S56" s="7">
        <v>48</v>
      </c>
      <c r="T56" s="7" t="s">
        <v>95</v>
      </c>
    </row>
    <row r="57" spans="1:20" ht="64" x14ac:dyDescent="0.2">
      <c r="A57" s="97">
        <v>49</v>
      </c>
      <c r="B57" s="7">
        <v>17</v>
      </c>
      <c r="C57" s="8">
        <v>46133</v>
      </c>
      <c r="D57" s="7" t="s">
        <v>30</v>
      </c>
      <c r="E57" s="7" t="s">
        <v>30</v>
      </c>
      <c r="F57" s="7" t="s">
        <v>230</v>
      </c>
      <c r="G57" s="7" t="s">
        <v>30</v>
      </c>
      <c r="H57" s="7" t="s">
        <v>50</v>
      </c>
      <c r="I57" s="7" t="s">
        <v>47</v>
      </c>
      <c r="J57" s="8">
        <v>46134</v>
      </c>
      <c r="K57" s="8">
        <v>46133</v>
      </c>
      <c r="L57" s="7" t="s">
        <v>41</v>
      </c>
      <c r="M57" s="7" t="s">
        <v>231</v>
      </c>
      <c r="O57" s="7" t="s">
        <v>187</v>
      </c>
      <c r="R57" s="7">
        <v>2026</v>
      </c>
      <c r="S57" s="7">
        <v>49</v>
      </c>
      <c r="T57" s="7" t="s">
        <v>104</v>
      </c>
    </row>
    <row r="58" spans="1:20" ht="32" x14ac:dyDescent="0.2">
      <c r="A58" s="7">
        <v>50</v>
      </c>
      <c r="B58" s="7">
        <v>17</v>
      </c>
      <c r="C58" s="8">
        <v>46133</v>
      </c>
      <c r="D58" s="7" t="s">
        <v>30</v>
      </c>
      <c r="E58" s="7" t="s">
        <v>30</v>
      </c>
      <c r="F58" s="7" t="s">
        <v>232</v>
      </c>
      <c r="G58" s="7" t="s">
        <v>30</v>
      </c>
      <c r="H58" s="7" t="s">
        <v>105</v>
      </c>
      <c r="I58" s="7" t="s">
        <v>55</v>
      </c>
      <c r="J58" s="8">
        <v>46153</v>
      </c>
      <c r="K58" s="8">
        <v>46133</v>
      </c>
      <c r="L58" s="7" t="s">
        <v>41</v>
      </c>
      <c r="M58" s="7" t="s">
        <v>233</v>
      </c>
      <c r="O58" s="7" t="s">
        <v>187</v>
      </c>
      <c r="R58" s="7">
        <v>2026</v>
      </c>
      <c r="S58" s="7">
        <v>50</v>
      </c>
      <c r="T58" s="7" t="s">
        <v>104</v>
      </c>
    </row>
    <row r="59" spans="1:20" ht="32" x14ac:dyDescent="0.2">
      <c r="A59" s="97">
        <v>51</v>
      </c>
      <c r="B59" s="7">
        <v>17</v>
      </c>
      <c r="C59" s="8">
        <v>46133</v>
      </c>
      <c r="D59" s="7" t="s">
        <v>30</v>
      </c>
      <c r="E59" s="7" t="s">
        <v>30</v>
      </c>
      <c r="F59" s="7" t="s">
        <v>106</v>
      </c>
      <c r="G59" s="7" t="s">
        <v>30</v>
      </c>
      <c r="H59" s="7" t="s">
        <v>105</v>
      </c>
      <c r="I59" s="7" t="s">
        <v>55</v>
      </c>
      <c r="J59" s="8">
        <v>46139</v>
      </c>
      <c r="K59" s="8">
        <v>46133</v>
      </c>
      <c r="L59" s="7" t="s">
        <v>41</v>
      </c>
      <c r="M59" s="7" t="s">
        <v>234</v>
      </c>
      <c r="O59" s="7" t="s">
        <v>187</v>
      </c>
      <c r="R59" s="7">
        <v>2026</v>
      </c>
      <c r="S59" s="7">
        <v>51</v>
      </c>
      <c r="T59" s="7" t="s">
        <v>104</v>
      </c>
    </row>
    <row r="60" spans="1:20" ht="32" x14ac:dyDescent="0.2">
      <c r="A60" s="7">
        <v>52</v>
      </c>
      <c r="B60" s="7">
        <v>17</v>
      </c>
      <c r="C60" s="8">
        <v>46133</v>
      </c>
      <c r="D60" s="7" t="s">
        <v>30</v>
      </c>
      <c r="E60" s="7" t="s">
        <v>30</v>
      </c>
      <c r="F60" s="7" t="s">
        <v>107</v>
      </c>
      <c r="G60" s="7" t="s">
        <v>30</v>
      </c>
      <c r="H60" s="7" t="s">
        <v>105</v>
      </c>
      <c r="I60" s="7" t="s">
        <v>55</v>
      </c>
      <c r="J60" s="8">
        <v>46139</v>
      </c>
      <c r="K60" s="8">
        <v>46133</v>
      </c>
      <c r="L60" s="7" t="s">
        <v>41</v>
      </c>
      <c r="M60" s="7" t="s">
        <v>235</v>
      </c>
      <c r="O60" s="7" t="s">
        <v>187</v>
      </c>
      <c r="R60" s="7">
        <v>2026</v>
      </c>
      <c r="S60" s="7">
        <v>52</v>
      </c>
      <c r="T60" s="7" t="s">
        <v>104</v>
      </c>
    </row>
    <row r="61" spans="1:20" ht="32" x14ac:dyDescent="0.2">
      <c r="A61" s="97">
        <v>53</v>
      </c>
      <c r="B61" s="7">
        <v>17</v>
      </c>
      <c r="C61" s="8">
        <v>46133</v>
      </c>
      <c r="D61" s="7" t="s">
        <v>30</v>
      </c>
      <c r="E61" s="7" t="s">
        <v>30</v>
      </c>
      <c r="F61" s="7" t="s">
        <v>108</v>
      </c>
      <c r="G61" s="7" t="s">
        <v>30</v>
      </c>
      <c r="H61" s="7" t="s">
        <v>105</v>
      </c>
      <c r="I61" s="7" t="s">
        <v>55</v>
      </c>
      <c r="J61" s="8">
        <v>46139</v>
      </c>
      <c r="K61" s="8">
        <v>46133</v>
      </c>
      <c r="L61" s="7" t="s">
        <v>41</v>
      </c>
      <c r="M61" s="7" t="s">
        <v>236</v>
      </c>
      <c r="O61" s="7" t="s">
        <v>187</v>
      </c>
      <c r="R61" s="7">
        <v>2026</v>
      </c>
      <c r="S61" s="7">
        <v>53</v>
      </c>
      <c r="T61" s="7" t="s">
        <v>104</v>
      </c>
    </row>
    <row r="62" spans="1:20" ht="64" x14ac:dyDescent="0.2">
      <c r="A62" s="7">
        <v>54</v>
      </c>
      <c r="B62" s="7">
        <v>17</v>
      </c>
      <c r="C62" s="8">
        <v>46132</v>
      </c>
      <c r="D62" s="7" t="s">
        <v>30</v>
      </c>
      <c r="E62" s="7" t="s">
        <v>30</v>
      </c>
      <c r="F62" s="7" t="s">
        <v>237</v>
      </c>
      <c r="G62" s="7" t="s">
        <v>30</v>
      </c>
      <c r="H62" s="7" t="s">
        <v>50</v>
      </c>
      <c r="I62" s="7" t="s">
        <v>47</v>
      </c>
      <c r="J62" s="8">
        <v>46136</v>
      </c>
      <c r="K62" s="8">
        <v>46132</v>
      </c>
      <c r="L62" s="7" t="s">
        <v>41</v>
      </c>
      <c r="M62" s="7" t="s">
        <v>238</v>
      </c>
      <c r="O62" s="7" t="s">
        <v>187</v>
      </c>
      <c r="R62" s="7">
        <v>2026</v>
      </c>
      <c r="S62" s="7">
        <v>54</v>
      </c>
      <c r="T62" s="7" t="s">
        <v>104</v>
      </c>
    </row>
    <row r="63" spans="1:20" ht="96" x14ac:dyDescent="0.2">
      <c r="A63" s="97">
        <v>55</v>
      </c>
      <c r="B63" s="7">
        <v>17</v>
      </c>
      <c r="C63" s="8">
        <v>46132</v>
      </c>
      <c r="D63" s="7" t="s">
        <v>30</v>
      </c>
      <c r="E63" s="7" t="s">
        <v>30</v>
      </c>
      <c r="F63" s="7" t="s">
        <v>239</v>
      </c>
      <c r="G63" s="7" t="s">
        <v>30</v>
      </c>
      <c r="H63" s="7" t="s">
        <v>50</v>
      </c>
      <c r="I63" s="7" t="s">
        <v>47</v>
      </c>
      <c r="J63" s="8">
        <v>46136</v>
      </c>
      <c r="K63" s="8">
        <v>46132</v>
      </c>
      <c r="L63" s="7" t="s">
        <v>41</v>
      </c>
      <c r="M63" s="7" t="s">
        <v>240</v>
      </c>
      <c r="O63" s="7" t="s">
        <v>187</v>
      </c>
      <c r="R63" s="7">
        <v>2026</v>
      </c>
      <c r="S63" s="7">
        <v>55</v>
      </c>
      <c r="T63" s="7" t="s">
        <v>104</v>
      </c>
    </row>
    <row r="64" spans="1:20" ht="48" x14ac:dyDescent="0.2">
      <c r="A64" s="7">
        <v>56</v>
      </c>
      <c r="B64" s="7">
        <v>17</v>
      </c>
      <c r="C64" s="8">
        <v>46132</v>
      </c>
      <c r="D64" s="7" t="s">
        <v>30</v>
      </c>
      <c r="E64" s="7" t="s">
        <v>30</v>
      </c>
      <c r="F64" s="7" t="s">
        <v>109</v>
      </c>
      <c r="G64" s="7" t="s">
        <v>30</v>
      </c>
      <c r="H64" s="7" t="s">
        <v>105</v>
      </c>
      <c r="I64" s="7" t="s">
        <v>32</v>
      </c>
      <c r="J64" s="8">
        <v>46136</v>
      </c>
      <c r="K64" s="8">
        <v>46132</v>
      </c>
      <c r="L64" s="7" t="s">
        <v>41</v>
      </c>
      <c r="M64" s="7" t="s">
        <v>241</v>
      </c>
      <c r="O64" s="7" t="s">
        <v>187</v>
      </c>
      <c r="R64" s="7">
        <v>2026</v>
      </c>
      <c r="S64" s="7">
        <v>56</v>
      </c>
      <c r="T64" s="7" t="s">
        <v>104</v>
      </c>
    </row>
    <row r="65" spans="1:20" ht="32" x14ac:dyDescent="0.2">
      <c r="A65" s="97">
        <v>57</v>
      </c>
      <c r="B65" s="7">
        <v>17</v>
      </c>
      <c r="C65" s="8">
        <v>46132</v>
      </c>
      <c r="D65" s="7" t="s">
        <v>57</v>
      </c>
      <c r="E65" s="7" t="s">
        <v>57</v>
      </c>
      <c r="F65" s="7" t="s">
        <v>242</v>
      </c>
      <c r="G65" s="7" t="s">
        <v>44</v>
      </c>
      <c r="H65" s="7" t="s">
        <v>45</v>
      </c>
      <c r="I65" s="7" t="s">
        <v>32</v>
      </c>
      <c r="J65" s="8">
        <v>46142</v>
      </c>
      <c r="K65" s="8">
        <v>46132</v>
      </c>
      <c r="L65" s="7" t="s">
        <v>41</v>
      </c>
      <c r="M65" s="7" t="s">
        <v>243</v>
      </c>
      <c r="O65" s="7" t="s">
        <v>187</v>
      </c>
      <c r="R65" s="7">
        <v>2026</v>
      </c>
      <c r="S65" s="7">
        <v>57</v>
      </c>
      <c r="T65" s="7" t="s">
        <v>110</v>
      </c>
    </row>
    <row r="66" spans="1:20" ht="96" x14ac:dyDescent="0.2">
      <c r="A66" s="7">
        <v>58</v>
      </c>
      <c r="B66" s="7">
        <v>16</v>
      </c>
      <c r="C66" s="8">
        <v>46126</v>
      </c>
      <c r="D66" s="7" t="s">
        <v>57</v>
      </c>
      <c r="E66" s="7" t="s">
        <v>191</v>
      </c>
      <c r="F66" s="7" t="s">
        <v>244</v>
      </c>
      <c r="G66" s="7" t="s">
        <v>44</v>
      </c>
      <c r="H66" s="7" t="s">
        <v>45</v>
      </c>
      <c r="I66" s="7" t="s">
        <v>32</v>
      </c>
      <c r="J66" s="8">
        <v>46133</v>
      </c>
      <c r="K66" s="8">
        <v>46126</v>
      </c>
      <c r="L66" s="7" t="s">
        <v>41</v>
      </c>
      <c r="M66" s="7" t="s">
        <v>245</v>
      </c>
      <c r="O66" s="7" t="s">
        <v>187</v>
      </c>
      <c r="R66" s="7">
        <v>2026</v>
      </c>
      <c r="S66" s="7">
        <v>58</v>
      </c>
      <c r="T66" s="7" t="s">
        <v>111</v>
      </c>
    </row>
    <row r="67" spans="1:20" ht="48" x14ac:dyDescent="0.2">
      <c r="A67" s="97">
        <v>59</v>
      </c>
      <c r="B67" s="7">
        <v>16</v>
      </c>
      <c r="C67" s="8">
        <v>46126</v>
      </c>
      <c r="D67" s="7" t="s">
        <v>30</v>
      </c>
      <c r="E67" s="7" t="s">
        <v>30</v>
      </c>
      <c r="F67" s="7" t="s">
        <v>112</v>
      </c>
      <c r="G67" s="7" t="s">
        <v>30</v>
      </c>
      <c r="H67" s="7" t="s">
        <v>35</v>
      </c>
      <c r="I67" s="7" t="s">
        <v>32</v>
      </c>
      <c r="J67" s="8">
        <v>46132</v>
      </c>
      <c r="K67" s="8">
        <v>46126</v>
      </c>
      <c r="L67" s="7" t="s">
        <v>41</v>
      </c>
      <c r="M67" s="7" t="s">
        <v>246</v>
      </c>
      <c r="O67" s="7" t="s">
        <v>187</v>
      </c>
      <c r="R67" s="7">
        <v>2026</v>
      </c>
      <c r="S67" s="7">
        <v>59</v>
      </c>
      <c r="T67" s="7" t="s">
        <v>113</v>
      </c>
    </row>
    <row r="68" spans="1:20" ht="32" x14ac:dyDescent="0.2">
      <c r="A68" s="7">
        <v>60</v>
      </c>
      <c r="B68" s="7">
        <v>16</v>
      </c>
      <c r="C68" s="8">
        <v>46126</v>
      </c>
      <c r="D68" s="7" t="s">
        <v>65</v>
      </c>
      <c r="E68" s="7" t="s">
        <v>44</v>
      </c>
      <c r="F68" s="7" t="s">
        <v>247</v>
      </c>
      <c r="G68" s="7" t="s">
        <v>44</v>
      </c>
      <c r="H68" s="7" t="s">
        <v>35</v>
      </c>
      <c r="I68" s="7" t="s">
        <v>55</v>
      </c>
      <c r="J68" s="8">
        <v>46135</v>
      </c>
      <c r="K68" s="8">
        <v>46126</v>
      </c>
      <c r="L68" s="7" t="s">
        <v>41</v>
      </c>
      <c r="M68" s="7" t="s">
        <v>65</v>
      </c>
      <c r="O68" s="7" t="s">
        <v>187</v>
      </c>
      <c r="R68" s="7">
        <v>2026</v>
      </c>
      <c r="S68" s="7">
        <v>60</v>
      </c>
      <c r="T68" s="7" t="s">
        <v>114</v>
      </c>
    </row>
    <row r="69" spans="1:20" ht="64" x14ac:dyDescent="0.2">
      <c r="A69" s="97">
        <v>61</v>
      </c>
      <c r="B69" s="7">
        <v>16</v>
      </c>
      <c r="C69" s="8">
        <v>46126</v>
      </c>
      <c r="D69" s="7" t="s">
        <v>30</v>
      </c>
      <c r="E69" s="7" t="s">
        <v>30</v>
      </c>
      <c r="F69" s="7" t="s">
        <v>248</v>
      </c>
      <c r="G69" s="7" t="s">
        <v>30</v>
      </c>
      <c r="H69" s="7" t="s">
        <v>50</v>
      </c>
      <c r="I69" s="7" t="s">
        <v>47</v>
      </c>
      <c r="J69" s="8">
        <v>46125</v>
      </c>
      <c r="K69" s="8">
        <v>46126</v>
      </c>
      <c r="L69" s="7" t="s">
        <v>41</v>
      </c>
      <c r="M69" s="7" t="s">
        <v>249</v>
      </c>
      <c r="O69" s="7" t="s">
        <v>187</v>
      </c>
      <c r="R69" s="7">
        <v>2026</v>
      </c>
      <c r="S69" s="7">
        <v>61</v>
      </c>
      <c r="T69" s="7" t="s">
        <v>113</v>
      </c>
    </row>
    <row r="70" spans="1:20" ht="16" x14ac:dyDescent="0.2">
      <c r="A70" s="7">
        <v>62</v>
      </c>
      <c r="B70" s="7">
        <v>15</v>
      </c>
      <c r="C70" s="8">
        <v>46119</v>
      </c>
      <c r="D70" s="7" t="s">
        <v>188</v>
      </c>
      <c r="E70" s="7" t="s">
        <v>30</v>
      </c>
      <c r="F70" s="7" t="s">
        <v>115</v>
      </c>
      <c r="G70" s="7" t="s">
        <v>30</v>
      </c>
      <c r="H70" s="7" t="s">
        <v>51</v>
      </c>
      <c r="I70" s="7" t="s">
        <v>47</v>
      </c>
      <c r="J70" s="8">
        <v>46125</v>
      </c>
      <c r="K70" s="8">
        <v>46119</v>
      </c>
      <c r="L70" s="7" t="s">
        <v>41</v>
      </c>
      <c r="M70" s="7" t="s">
        <v>250</v>
      </c>
      <c r="O70" s="7" t="s">
        <v>187</v>
      </c>
      <c r="R70" s="7">
        <v>2026</v>
      </c>
      <c r="S70" s="7">
        <v>62</v>
      </c>
      <c r="T70" s="7" t="s">
        <v>251</v>
      </c>
    </row>
    <row r="71" spans="1:20" ht="32" x14ac:dyDescent="0.2">
      <c r="A71" s="97">
        <v>63</v>
      </c>
      <c r="B71" s="7">
        <v>15</v>
      </c>
      <c r="C71" s="8">
        <v>46119</v>
      </c>
      <c r="D71" s="7" t="s">
        <v>213</v>
      </c>
      <c r="E71" s="7" t="s">
        <v>44</v>
      </c>
      <c r="F71" s="7" t="s">
        <v>252</v>
      </c>
      <c r="G71" s="7" t="s">
        <v>39</v>
      </c>
      <c r="H71" s="7" t="s">
        <v>35</v>
      </c>
      <c r="I71" s="7" t="s">
        <v>55</v>
      </c>
      <c r="J71" s="8">
        <v>46125</v>
      </c>
      <c r="K71" s="8">
        <v>46119</v>
      </c>
      <c r="L71" s="7" t="s">
        <v>41</v>
      </c>
      <c r="M71" s="7" t="s">
        <v>253</v>
      </c>
      <c r="O71" s="7" t="s">
        <v>187</v>
      </c>
      <c r="R71" s="7">
        <v>2026</v>
      </c>
      <c r="S71" s="7">
        <v>63</v>
      </c>
      <c r="T71" s="7" t="s">
        <v>254</v>
      </c>
    </row>
    <row r="72" spans="1:20" ht="32" x14ac:dyDescent="0.2">
      <c r="A72" s="7">
        <v>64</v>
      </c>
      <c r="B72" s="7">
        <v>15</v>
      </c>
      <c r="C72" s="8">
        <v>46119</v>
      </c>
      <c r="D72" s="7" t="s">
        <v>30</v>
      </c>
      <c r="E72" s="7" t="s">
        <v>30</v>
      </c>
      <c r="F72" s="7" t="s">
        <v>255</v>
      </c>
      <c r="G72" s="7" t="s">
        <v>30</v>
      </c>
      <c r="H72" s="7" t="s">
        <v>116</v>
      </c>
      <c r="I72" s="7" t="s">
        <v>32</v>
      </c>
      <c r="J72" s="8">
        <v>46125</v>
      </c>
      <c r="K72" s="8">
        <v>46119</v>
      </c>
      <c r="L72" s="7" t="s">
        <v>41</v>
      </c>
      <c r="M72" s="7" t="s">
        <v>30</v>
      </c>
      <c r="O72" s="7" t="s">
        <v>187</v>
      </c>
      <c r="R72" s="7">
        <v>2026</v>
      </c>
      <c r="S72" s="7">
        <v>64</v>
      </c>
      <c r="T72" s="7" t="s">
        <v>117</v>
      </c>
    </row>
    <row r="73" spans="1:20" ht="32" x14ac:dyDescent="0.2">
      <c r="A73" s="97">
        <v>65</v>
      </c>
      <c r="B73" s="7">
        <v>15</v>
      </c>
      <c r="C73" s="8">
        <v>46119</v>
      </c>
      <c r="D73" s="7" t="s">
        <v>213</v>
      </c>
      <c r="E73" s="7" t="s">
        <v>44</v>
      </c>
      <c r="F73" s="7" t="s">
        <v>256</v>
      </c>
      <c r="G73" s="7" t="s">
        <v>44</v>
      </c>
      <c r="H73" s="7" t="s">
        <v>48</v>
      </c>
      <c r="I73" s="7" t="s">
        <v>47</v>
      </c>
      <c r="J73" s="8">
        <v>46125</v>
      </c>
      <c r="K73" s="8">
        <v>46119</v>
      </c>
      <c r="L73" s="7" t="s">
        <v>41</v>
      </c>
      <c r="M73" s="7" t="s">
        <v>257</v>
      </c>
      <c r="O73" s="7" t="s">
        <v>187</v>
      </c>
      <c r="R73" s="7">
        <v>2026</v>
      </c>
      <c r="S73" s="7">
        <v>65</v>
      </c>
      <c r="T73" s="7" t="s">
        <v>254</v>
      </c>
    </row>
    <row r="74" spans="1:20" ht="32" x14ac:dyDescent="0.2">
      <c r="A74" s="7">
        <v>66</v>
      </c>
      <c r="B74" s="7">
        <v>15</v>
      </c>
      <c r="C74" s="8">
        <v>46119</v>
      </c>
      <c r="D74" s="7" t="s">
        <v>65</v>
      </c>
      <c r="E74" s="7" t="s">
        <v>44</v>
      </c>
      <c r="F74" s="7" t="s">
        <v>118</v>
      </c>
      <c r="G74" s="7" t="s">
        <v>39</v>
      </c>
      <c r="H74" s="7" t="s">
        <v>119</v>
      </c>
      <c r="I74" s="7" t="s">
        <v>47</v>
      </c>
      <c r="J74" s="8">
        <v>46125</v>
      </c>
      <c r="K74" s="8">
        <v>46119</v>
      </c>
      <c r="L74" s="7" t="s">
        <v>41</v>
      </c>
      <c r="M74" s="7" t="s">
        <v>65</v>
      </c>
      <c r="O74" s="7" t="s">
        <v>187</v>
      </c>
      <c r="R74" s="7">
        <v>2026</v>
      </c>
      <c r="S74" s="7">
        <v>66</v>
      </c>
      <c r="T74" s="7" t="s">
        <v>120</v>
      </c>
    </row>
    <row r="75" spans="1:20" ht="48" x14ac:dyDescent="0.2">
      <c r="A75" s="97">
        <v>67</v>
      </c>
      <c r="B75" s="7">
        <v>15</v>
      </c>
      <c r="C75" s="8">
        <v>46119</v>
      </c>
      <c r="D75" s="7" t="s">
        <v>40</v>
      </c>
      <c r="E75" s="7" t="s">
        <v>44</v>
      </c>
      <c r="F75" s="7" t="s">
        <v>121</v>
      </c>
      <c r="G75" s="7" t="s">
        <v>39</v>
      </c>
      <c r="H75" s="7" t="s">
        <v>31</v>
      </c>
      <c r="I75" s="7" t="s">
        <v>55</v>
      </c>
      <c r="J75" s="8">
        <v>46125</v>
      </c>
      <c r="K75" s="8">
        <v>46119</v>
      </c>
      <c r="L75" s="7" t="s">
        <v>41</v>
      </c>
      <c r="M75" s="7" t="s">
        <v>258</v>
      </c>
      <c r="O75" s="7" t="s">
        <v>187</v>
      </c>
      <c r="R75" s="7">
        <v>2026</v>
      </c>
      <c r="S75" s="7">
        <v>67</v>
      </c>
      <c r="T75" s="7" t="s">
        <v>122</v>
      </c>
    </row>
    <row r="76" spans="1:20" ht="48" x14ac:dyDescent="0.2">
      <c r="A76" s="7">
        <v>68</v>
      </c>
      <c r="B76" s="7">
        <v>15</v>
      </c>
      <c r="C76" s="8">
        <v>46118</v>
      </c>
      <c r="D76" s="7" t="s">
        <v>65</v>
      </c>
      <c r="E76" s="7" t="s">
        <v>44</v>
      </c>
      <c r="F76" s="7" t="s">
        <v>123</v>
      </c>
      <c r="G76" s="7" t="s">
        <v>44</v>
      </c>
      <c r="H76" s="7" t="s">
        <v>119</v>
      </c>
      <c r="I76" s="7" t="s">
        <v>55</v>
      </c>
      <c r="J76" s="8">
        <v>46125</v>
      </c>
      <c r="K76" s="8">
        <v>46118</v>
      </c>
      <c r="L76" s="7" t="s">
        <v>41</v>
      </c>
      <c r="M76" s="7" t="s">
        <v>65</v>
      </c>
      <c r="O76" s="7" t="s">
        <v>187</v>
      </c>
      <c r="R76" s="7">
        <v>2026</v>
      </c>
      <c r="S76" s="7">
        <v>68</v>
      </c>
      <c r="T76" s="7" t="s">
        <v>120</v>
      </c>
    </row>
    <row r="77" spans="1:20" ht="48" x14ac:dyDescent="0.2">
      <c r="A77" s="97">
        <v>69</v>
      </c>
      <c r="B77" s="7">
        <v>14</v>
      </c>
      <c r="C77" s="8">
        <v>46113</v>
      </c>
      <c r="D77" s="7" t="s">
        <v>213</v>
      </c>
      <c r="E77" s="7" t="s">
        <v>44</v>
      </c>
      <c r="F77" s="7" t="s">
        <v>124</v>
      </c>
      <c r="G77" s="7" t="s">
        <v>44</v>
      </c>
      <c r="H77" s="7" t="s">
        <v>48</v>
      </c>
      <c r="I77" s="7" t="s">
        <v>47</v>
      </c>
      <c r="J77" s="8">
        <v>46118</v>
      </c>
      <c r="K77" s="8">
        <v>46113</v>
      </c>
      <c r="L77" s="7" t="s">
        <v>41</v>
      </c>
      <c r="M77" s="7" t="s">
        <v>259</v>
      </c>
      <c r="O77" s="7" t="s">
        <v>187</v>
      </c>
      <c r="R77" s="7">
        <v>2026</v>
      </c>
      <c r="S77" s="7">
        <v>69</v>
      </c>
      <c r="T77" s="7" t="s">
        <v>260</v>
      </c>
    </row>
    <row r="78" spans="1:20" ht="32" x14ac:dyDescent="0.2">
      <c r="A78" s="7">
        <v>70</v>
      </c>
      <c r="B78" s="7">
        <v>14</v>
      </c>
      <c r="C78" s="8">
        <v>46113</v>
      </c>
      <c r="D78" s="7" t="s">
        <v>213</v>
      </c>
      <c r="E78" s="7" t="s">
        <v>44</v>
      </c>
      <c r="F78" s="7" t="s">
        <v>125</v>
      </c>
      <c r="G78" s="7" t="s">
        <v>44</v>
      </c>
      <c r="H78" s="7" t="s">
        <v>48</v>
      </c>
      <c r="I78" s="7" t="s">
        <v>47</v>
      </c>
      <c r="J78" s="8">
        <v>46118</v>
      </c>
      <c r="K78" s="8">
        <v>46118</v>
      </c>
      <c r="L78" s="7" t="s">
        <v>33</v>
      </c>
      <c r="M78" s="7" t="s">
        <v>259</v>
      </c>
      <c r="O78" s="7" t="s">
        <v>187</v>
      </c>
      <c r="R78" s="7">
        <v>2026</v>
      </c>
      <c r="S78" s="7">
        <v>70</v>
      </c>
      <c r="T78" s="7" t="s">
        <v>260</v>
      </c>
    </row>
    <row r="79" spans="1:20" ht="48" x14ac:dyDescent="0.2">
      <c r="A79" s="97">
        <v>71</v>
      </c>
      <c r="B79" s="7">
        <v>14</v>
      </c>
      <c r="C79" s="8">
        <v>46113</v>
      </c>
      <c r="D79" s="7" t="s">
        <v>30</v>
      </c>
      <c r="E79" s="7" t="s">
        <v>30</v>
      </c>
      <c r="F79" s="7" t="s">
        <v>126</v>
      </c>
      <c r="G79" s="7" t="s">
        <v>30</v>
      </c>
      <c r="H79" s="7" t="s">
        <v>34</v>
      </c>
      <c r="I79" s="7" t="s">
        <v>47</v>
      </c>
      <c r="J79" s="8">
        <v>46118</v>
      </c>
      <c r="K79" s="8">
        <v>46118</v>
      </c>
      <c r="L79" s="7" t="s">
        <v>33</v>
      </c>
      <c r="M79" s="7" t="s">
        <v>259</v>
      </c>
      <c r="O79" s="7" t="s">
        <v>187</v>
      </c>
      <c r="R79" s="7">
        <v>2026</v>
      </c>
      <c r="S79" s="7">
        <v>71</v>
      </c>
      <c r="T79" s="7" t="s">
        <v>127</v>
      </c>
    </row>
    <row r="80" spans="1:20" ht="48" x14ac:dyDescent="0.2">
      <c r="A80" s="7">
        <v>72</v>
      </c>
      <c r="B80" s="7">
        <v>14</v>
      </c>
      <c r="C80" s="8">
        <v>46113</v>
      </c>
      <c r="D80" s="7" t="s">
        <v>188</v>
      </c>
      <c r="E80" s="7" t="s">
        <v>44</v>
      </c>
      <c r="F80" s="7" t="s">
        <v>261</v>
      </c>
      <c r="G80" s="7" t="s">
        <v>39</v>
      </c>
      <c r="H80" s="7" t="s">
        <v>51</v>
      </c>
      <c r="I80" s="7" t="s">
        <v>47</v>
      </c>
      <c r="J80" s="8">
        <v>46118</v>
      </c>
      <c r="K80" s="8">
        <v>46118</v>
      </c>
      <c r="L80" s="7" t="s">
        <v>33</v>
      </c>
      <c r="M80" s="7" t="s">
        <v>259</v>
      </c>
      <c r="O80" s="7" t="s">
        <v>187</v>
      </c>
      <c r="R80" s="7">
        <v>2026</v>
      </c>
      <c r="S80" s="7">
        <v>72</v>
      </c>
      <c r="T80" s="7" t="s">
        <v>262</v>
      </c>
    </row>
    <row r="81" spans="1:20" ht="32" x14ac:dyDescent="0.2">
      <c r="A81" s="97">
        <v>73</v>
      </c>
      <c r="B81" s="7">
        <v>14</v>
      </c>
      <c r="C81" s="8">
        <v>46113</v>
      </c>
      <c r="D81" s="7" t="s">
        <v>213</v>
      </c>
      <c r="E81" s="7" t="s">
        <v>44</v>
      </c>
      <c r="F81" s="7" t="s">
        <v>128</v>
      </c>
      <c r="G81" s="7" t="s">
        <v>39</v>
      </c>
      <c r="H81" s="7" t="s">
        <v>48</v>
      </c>
      <c r="I81" s="7" t="s">
        <v>47</v>
      </c>
      <c r="J81" s="8">
        <v>46118</v>
      </c>
      <c r="K81" s="8">
        <v>46119</v>
      </c>
      <c r="L81" s="7" t="s">
        <v>41</v>
      </c>
      <c r="O81" s="7" t="s">
        <v>187</v>
      </c>
      <c r="R81" s="7">
        <v>2026</v>
      </c>
      <c r="S81" s="7">
        <v>73</v>
      </c>
      <c r="T81" s="7" t="s">
        <v>260</v>
      </c>
    </row>
    <row r="82" spans="1:20" ht="32" x14ac:dyDescent="0.2">
      <c r="A82" s="7">
        <v>74</v>
      </c>
      <c r="B82" s="7">
        <v>14</v>
      </c>
      <c r="C82" s="8">
        <v>46113</v>
      </c>
      <c r="D82" s="7" t="s">
        <v>65</v>
      </c>
      <c r="E82" s="7" t="s">
        <v>44</v>
      </c>
      <c r="F82" s="7" t="s">
        <v>263</v>
      </c>
      <c r="G82" s="7" t="s">
        <v>39</v>
      </c>
      <c r="H82" s="7" t="s">
        <v>119</v>
      </c>
      <c r="I82" s="7" t="s">
        <v>47</v>
      </c>
      <c r="J82" s="8">
        <v>46118</v>
      </c>
      <c r="K82" s="8">
        <v>46113</v>
      </c>
      <c r="L82" s="7" t="s">
        <v>41</v>
      </c>
      <c r="M82" s="7" t="s">
        <v>65</v>
      </c>
      <c r="O82" s="7" t="s">
        <v>187</v>
      </c>
      <c r="R82" s="7">
        <v>2026</v>
      </c>
      <c r="S82" s="7">
        <v>74</v>
      </c>
      <c r="T82" s="7" t="s">
        <v>129</v>
      </c>
    </row>
    <row r="83" spans="1:20" ht="48" x14ac:dyDescent="0.2">
      <c r="A83" s="97">
        <v>75</v>
      </c>
      <c r="B83" s="7">
        <v>14</v>
      </c>
      <c r="C83" s="8">
        <v>46113</v>
      </c>
      <c r="D83" s="7" t="s">
        <v>213</v>
      </c>
      <c r="E83" s="7" t="s">
        <v>44</v>
      </c>
      <c r="F83" s="7" t="s">
        <v>130</v>
      </c>
      <c r="G83" s="7" t="s">
        <v>39</v>
      </c>
      <c r="H83" s="7" t="s">
        <v>48</v>
      </c>
      <c r="I83" s="7" t="s">
        <v>47</v>
      </c>
      <c r="J83" s="8">
        <v>46118</v>
      </c>
      <c r="K83" s="8">
        <v>46118</v>
      </c>
      <c r="L83" s="7" t="s">
        <v>33</v>
      </c>
      <c r="M83" s="7" t="s">
        <v>264</v>
      </c>
      <c r="O83" s="7" t="s">
        <v>187</v>
      </c>
      <c r="R83" s="7">
        <v>2026</v>
      </c>
      <c r="S83" s="7">
        <v>75</v>
      </c>
      <c r="T83" s="7" t="s">
        <v>260</v>
      </c>
    </row>
    <row r="84" spans="1:20" ht="48" x14ac:dyDescent="0.2">
      <c r="A84" s="7">
        <v>76</v>
      </c>
      <c r="B84" s="7">
        <v>14</v>
      </c>
      <c r="C84" s="8">
        <v>46111</v>
      </c>
      <c r="D84" s="7" t="s">
        <v>213</v>
      </c>
      <c r="E84" s="7" t="s">
        <v>44</v>
      </c>
      <c r="F84" s="7" t="s">
        <v>131</v>
      </c>
      <c r="G84" s="7" t="s">
        <v>44</v>
      </c>
      <c r="H84" s="7" t="s">
        <v>48</v>
      </c>
      <c r="I84" s="7" t="s">
        <v>47</v>
      </c>
      <c r="J84" s="8">
        <v>46113</v>
      </c>
      <c r="K84" s="8">
        <v>46113</v>
      </c>
      <c r="L84" s="7" t="s">
        <v>33</v>
      </c>
      <c r="M84" s="7" t="s">
        <v>259</v>
      </c>
      <c r="O84" s="7" t="s">
        <v>187</v>
      </c>
      <c r="R84" s="7">
        <v>2026</v>
      </c>
      <c r="S84" s="7">
        <v>76</v>
      </c>
      <c r="T84" s="7" t="s">
        <v>260</v>
      </c>
    </row>
    <row r="85" spans="1:20" ht="80" x14ac:dyDescent="0.2">
      <c r="A85" s="97">
        <v>77</v>
      </c>
      <c r="B85" s="7">
        <v>14</v>
      </c>
      <c r="C85" s="8">
        <v>46111</v>
      </c>
      <c r="D85" s="7" t="s">
        <v>213</v>
      </c>
      <c r="E85" s="7" t="s">
        <v>44</v>
      </c>
      <c r="F85" s="7" t="s">
        <v>132</v>
      </c>
      <c r="G85" s="7" t="s">
        <v>39</v>
      </c>
      <c r="H85" s="7" t="s">
        <v>50</v>
      </c>
      <c r="I85" s="7" t="s">
        <v>47</v>
      </c>
      <c r="J85" s="8">
        <v>46118</v>
      </c>
      <c r="K85" s="8">
        <v>46111</v>
      </c>
      <c r="L85" s="7" t="s">
        <v>41</v>
      </c>
      <c r="M85" s="7" t="s">
        <v>265</v>
      </c>
      <c r="O85" s="7" t="s">
        <v>187</v>
      </c>
      <c r="R85" s="7">
        <v>2026</v>
      </c>
      <c r="S85" s="7">
        <v>77</v>
      </c>
      <c r="T85" s="7" t="s">
        <v>260</v>
      </c>
    </row>
    <row r="86" spans="1:20" ht="64" x14ac:dyDescent="0.2">
      <c r="A86" s="7">
        <v>78</v>
      </c>
      <c r="B86" s="7">
        <v>13</v>
      </c>
      <c r="C86" s="8">
        <v>46105</v>
      </c>
      <c r="D86" s="7" t="s">
        <v>65</v>
      </c>
      <c r="E86" s="7" t="s">
        <v>44</v>
      </c>
      <c r="F86" s="7" t="s">
        <v>266</v>
      </c>
      <c r="G86" s="7" t="s">
        <v>37</v>
      </c>
      <c r="H86" s="7" t="s">
        <v>35</v>
      </c>
      <c r="I86" s="7" t="s">
        <v>55</v>
      </c>
      <c r="J86" s="8">
        <v>46140</v>
      </c>
      <c r="K86" s="8">
        <v>46105</v>
      </c>
      <c r="L86" s="7" t="s">
        <v>41</v>
      </c>
      <c r="M86" s="7" t="s">
        <v>267</v>
      </c>
      <c r="O86" s="7" t="s">
        <v>187</v>
      </c>
      <c r="R86" s="7">
        <v>2026</v>
      </c>
      <c r="S86" s="7">
        <v>78</v>
      </c>
      <c r="T86" s="7" t="s">
        <v>133</v>
      </c>
    </row>
    <row r="87" spans="1:20" ht="48" x14ac:dyDescent="0.2">
      <c r="A87" s="97">
        <v>79</v>
      </c>
      <c r="B87" s="7">
        <v>13</v>
      </c>
      <c r="C87" s="8">
        <v>46104</v>
      </c>
      <c r="D87" s="7" t="s">
        <v>65</v>
      </c>
      <c r="E87" s="7" t="s">
        <v>44</v>
      </c>
      <c r="F87" s="7" t="s">
        <v>268</v>
      </c>
      <c r="G87" s="7" t="s">
        <v>37</v>
      </c>
      <c r="H87" s="7" t="s">
        <v>105</v>
      </c>
      <c r="I87" s="7" t="s">
        <v>32</v>
      </c>
      <c r="J87" s="8">
        <v>46140</v>
      </c>
      <c r="K87" s="8">
        <v>46104</v>
      </c>
      <c r="L87" s="7" t="s">
        <v>41</v>
      </c>
      <c r="M87" s="7" t="s">
        <v>269</v>
      </c>
      <c r="O87" s="7" t="s">
        <v>187</v>
      </c>
      <c r="R87" s="7">
        <v>2026</v>
      </c>
      <c r="S87" s="7">
        <v>79</v>
      </c>
      <c r="T87" s="7" t="s">
        <v>133</v>
      </c>
    </row>
    <row r="88" spans="1:20" ht="48" x14ac:dyDescent="0.2">
      <c r="A88" s="7">
        <v>80</v>
      </c>
      <c r="B88" s="7">
        <v>13</v>
      </c>
      <c r="C88" s="8">
        <v>46103</v>
      </c>
      <c r="D88" s="7" t="s">
        <v>65</v>
      </c>
      <c r="E88" s="7" t="s">
        <v>44</v>
      </c>
      <c r="F88" s="7" t="s">
        <v>270</v>
      </c>
      <c r="G88" s="7" t="s">
        <v>37</v>
      </c>
      <c r="H88" s="7" t="s">
        <v>35</v>
      </c>
      <c r="I88" s="7" t="s">
        <v>32</v>
      </c>
      <c r="J88" s="8">
        <v>46140</v>
      </c>
      <c r="K88" s="8">
        <v>46103</v>
      </c>
      <c r="L88" s="7" t="s">
        <v>41</v>
      </c>
      <c r="M88" s="7" t="s">
        <v>271</v>
      </c>
      <c r="O88" s="7" t="s">
        <v>187</v>
      </c>
      <c r="R88" s="7">
        <v>2026</v>
      </c>
      <c r="S88" s="7">
        <v>80</v>
      </c>
      <c r="T88" s="7" t="s">
        <v>133</v>
      </c>
    </row>
    <row r="89" spans="1:20" ht="48" x14ac:dyDescent="0.2">
      <c r="A89" s="97">
        <v>81</v>
      </c>
      <c r="B89" s="7">
        <v>13</v>
      </c>
      <c r="C89" s="8">
        <v>46103</v>
      </c>
      <c r="D89" s="7" t="s">
        <v>65</v>
      </c>
      <c r="E89" s="7" t="s">
        <v>44</v>
      </c>
      <c r="F89" s="7" t="s">
        <v>268</v>
      </c>
      <c r="G89" s="7" t="s">
        <v>37</v>
      </c>
      <c r="H89" s="7" t="s">
        <v>105</v>
      </c>
      <c r="I89" s="7" t="s">
        <v>32</v>
      </c>
      <c r="J89" s="8">
        <v>46104</v>
      </c>
      <c r="K89" s="8">
        <v>46103</v>
      </c>
      <c r="L89" s="7" t="s">
        <v>41</v>
      </c>
      <c r="M89" s="7" t="s">
        <v>271</v>
      </c>
      <c r="O89" s="7" t="s">
        <v>187</v>
      </c>
      <c r="R89" s="7">
        <v>2026</v>
      </c>
      <c r="S89" s="7">
        <v>81</v>
      </c>
      <c r="T89" s="7" t="s">
        <v>133</v>
      </c>
    </row>
    <row r="90" spans="1:20" ht="16" x14ac:dyDescent="0.2">
      <c r="A90" s="7">
        <v>82</v>
      </c>
      <c r="B90" s="7">
        <v>12</v>
      </c>
      <c r="C90" s="8">
        <v>46098</v>
      </c>
      <c r="D90" s="7" t="s">
        <v>272</v>
      </c>
      <c r="E90" s="7" t="s">
        <v>44</v>
      </c>
      <c r="F90" s="7" t="s">
        <v>273</v>
      </c>
      <c r="G90" s="7" t="s">
        <v>134</v>
      </c>
      <c r="H90" s="7" t="s">
        <v>50</v>
      </c>
      <c r="I90" s="7" t="s">
        <v>47</v>
      </c>
      <c r="J90" s="8">
        <v>46128</v>
      </c>
      <c r="K90" s="8">
        <v>46098</v>
      </c>
      <c r="L90" s="7" t="s">
        <v>41</v>
      </c>
      <c r="M90" s="7" t="s">
        <v>274</v>
      </c>
      <c r="O90" s="7" t="s">
        <v>187</v>
      </c>
      <c r="R90" s="7">
        <v>2026</v>
      </c>
      <c r="S90" s="7">
        <v>82</v>
      </c>
      <c r="T90" s="7" t="s">
        <v>275</v>
      </c>
    </row>
    <row r="91" spans="1:20" ht="32" x14ac:dyDescent="0.2">
      <c r="A91" s="97">
        <v>83</v>
      </c>
      <c r="B91" s="7">
        <v>12</v>
      </c>
      <c r="C91" s="8">
        <v>46098</v>
      </c>
      <c r="D91" s="7" t="s">
        <v>272</v>
      </c>
      <c r="E91" s="7" t="s">
        <v>44</v>
      </c>
      <c r="F91" s="7" t="s">
        <v>276</v>
      </c>
      <c r="G91" s="7" t="s">
        <v>134</v>
      </c>
      <c r="H91" s="7" t="s">
        <v>50</v>
      </c>
      <c r="I91" s="7" t="s">
        <v>47</v>
      </c>
      <c r="J91" s="8">
        <v>46127</v>
      </c>
      <c r="K91" s="8">
        <v>46098</v>
      </c>
      <c r="L91" s="7" t="s">
        <v>41</v>
      </c>
      <c r="M91" s="7" t="s">
        <v>277</v>
      </c>
      <c r="O91" s="7" t="s">
        <v>187</v>
      </c>
      <c r="R91" s="7">
        <v>2026</v>
      </c>
      <c r="S91" s="7">
        <v>83</v>
      </c>
      <c r="T91" s="7" t="s">
        <v>275</v>
      </c>
    </row>
    <row r="92" spans="1:20" ht="32" x14ac:dyDescent="0.2">
      <c r="A92" s="7">
        <v>84</v>
      </c>
      <c r="B92" s="7">
        <v>12</v>
      </c>
      <c r="C92" s="8">
        <v>46098</v>
      </c>
      <c r="D92" s="7" t="s">
        <v>272</v>
      </c>
      <c r="E92" s="7" t="s">
        <v>44</v>
      </c>
      <c r="F92" s="7" t="s">
        <v>278</v>
      </c>
      <c r="G92" s="7" t="s">
        <v>44</v>
      </c>
      <c r="H92" s="7" t="s">
        <v>35</v>
      </c>
      <c r="I92" s="7" t="s">
        <v>32</v>
      </c>
      <c r="J92" s="8">
        <v>46127</v>
      </c>
      <c r="K92" s="8">
        <v>46098</v>
      </c>
      <c r="L92" s="7" t="s">
        <v>41</v>
      </c>
      <c r="M92" s="7" t="s">
        <v>274</v>
      </c>
      <c r="O92" s="7" t="s">
        <v>187</v>
      </c>
      <c r="R92" s="7">
        <v>2026</v>
      </c>
      <c r="S92" s="7">
        <v>84</v>
      </c>
      <c r="T92" s="7" t="s">
        <v>275</v>
      </c>
    </row>
    <row r="93" spans="1:20" ht="32" x14ac:dyDescent="0.2">
      <c r="A93" s="97">
        <v>85</v>
      </c>
      <c r="B93" s="7">
        <v>12</v>
      </c>
      <c r="C93" s="8">
        <v>46098</v>
      </c>
      <c r="D93" s="7" t="s">
        <v>272</v>
      </c>
      <c r="E93" s="7" t="s">
        <v>44</v>
      </c>
      <c r="F93" s="7" t="s">
        <v>279</v>
      </c>
      <c r="G93" s="7" t="s">
        <v>134</v>
      </c>
      <c r="H93" s="7" t="s">
        <v>135</v>
      </c>
      <c r="I93" s="7" t="s">
        <v>32</v>
      </c>
      <c r="J93" s="8">
        <v>46127</v>
      </c>
      <c r="K93" s="8">
        <v>46098</v>
      </c>
      <c r="L93" s="7" t="s">
        <v>41</v>
      </c>
      <c r="M93" s="7" t="s">
        <v>274</v>
      </c>
      <c r="O93" s="7" t="s">
        <v>187</v>
      </c>
      <c r="R93" s="7">
        <v>2026</v>
      </c>
      <c r="S93" s="7">
        <v>85</v>
      </c>
      <c r="T93" s="7" t="s">
        <v>275</v>
      </c>
    </row>
    <row r="94" spans="1:20" ht="32" x14ac:dyDescent="0.2">
      <c r="A94" s="7">
        <v>86</v>
      </c>
      <c r="B94" s="7">
        <v>12</v>
      </c>
      <c r="C94" s="8">
        <v>46098</v>
      </c>
      <c r="D94" s="7" t="s">
        <v>65</v>
      </c>
      <c r="E94" s="7" t="s">
        <v>44</v>
      </c>
      <c r="F94" s="7" t="s">
        <v>280</v>
      </c>
      <c r="G94" s="7" t="s">
        <v>44</v>
      </c>
      <c r="H94" s="7" t="s">
        <v>46</v>
      </c>
      <c r="I94" s="7" t="s">
        <v>55</v>
      </c>
      <c r="J94" s="8">
        <v>46104</v>
      </c>
      <c r="K94" s="8">
        <v>46104</v>
      </c>
      <c r="L94" s="7" t="s">
        <v>33</v>
      </c>
      <c r="M94" s="7" t="s">
        <v>281</v>
      </c>
      <c r="O94" s="7" t="s">
        <v>187</v>
      </c>
      <c r="R94" s="7">
        <v>2026</v>
      </c>
      <c r="S94" s="7">
        <v>86</v>
      </c>
      <c r="T94" s="7" t="s">
        <v>136</v>
      </c>
    </row>
    <row r="95" spans="1:20" ht="32" x14ac:dyDescent="0.2">
      <c r="A95" s="97">
        <v>87</v>
      </c>
      <c r="B95" s="7">
        <v>11</v>
      </c>
      <c r="C95" s="8">
        <v>46098</v>
      </c>
      <c r="D95" s="7" t="s">
        <v>213</v>
      </c>
      <c r="E95" s="7" t="s">
        <v>44</v>
      </c>
      <c r="F95" s="7" t="s">
        <v>137</v>
      </c>
      <c r="G95" s="7" t="s">
        <v>44</v>
      </c>
      <c r="H95" s="7" t="s">
        <v>46</v>
      </c>
      <c r="I95" s="7" t="s">
        <v>47</v>
      </c>
      <c r="J95" s="8">
        <v>46098</v>
      </c>
      <c r="K95" s="8">
        <v>46098</v>
      </c>
      <c r="L95" s="7" t="s">
        <v>33</v>
      </c>
      <c r="M95" s="7" t="s">
        <v>259</v>
      </c>
      <c r="O95" s="7" t="s">
        <v>187</v>
      </c>
      <c r="R95" s="7">
        <v>2026</v>
      </c>
      <c r="S95" s="7">
        <v>87</v>
      </c>
      <c r="T95" s="7" t="s">
        <v>282</v>
      </c>
    </row>
    <row r="96" spans="1:20" ht="32" x14ac:dyDescent="0.2">
      <c r="A96" s="7">
        <v>88</v>
      </c>
      <c r="B96" s="7">
        <v>12</v>
      </c>
      <c r="C96" s="8">
        <v>46097</v>
      </c>
      <c r="D96" s="7" t="s">
        <v>272</v>
      </c>
      <c r="E96" s="7" t="s">
        <v>44</v>
      </c>
      <c r="F96" s="7" t="s">
        <v>283</v>
      </c>
      <c r="G96" s="7" t="s">
        <v>134</v>
      </c>
      <c r="H96" s="7" t="s">
        <v>50</v>
      </c>
      <c r="I96" s="7" t="s">
        <v>47</v>
      </c>
      <c r="J96" s="8">
        <v>46119</v>
      </c>
      <c r="K96" s="8">
        <v>46097</v>
      </c>
      <c r="L96" s="7" t="s">
        <v>41</v>
      </c>
      <c r="M96" s="7" t="s">
        <v>284</v>
      </c>
      <c r="O96" s="7" t="s">
        <v>187</v>
      </c>
      <c r="R96" s="7">
        <v>2026</v>
      </c>
      <c r="S96" s="7">
        <v>88</v>
      </c>
      <c r="T96" s="7" t="s">
        <v>275</v>
      </c>
    </row>
    <row r="97" spans="1:20" ht="32" x14ac:dyDescent="0.2">
      <c r="A97" s="97">
        <v>89</v>
      </c>
      <c r="B97" s="7">
        <v>12</v>
      </c>
      <c r="C97" s="8">
        <v>46097</v>
      </c>
      <c r="D97" s="7" t="s">
        <v>272</v>
      </c>
      <c r="E97" s="7" t="s">
        <v>44</v>
      </c>
      <c r="F97" s="7" t="s">
        <v>285</v>
      </c>
      <c r="G97" s="7" t="s">
        <v>134</v>
      </c>
      <c r="H97" s="7" t="s">
        <v>48</v>
      </c>
      <c r="I97" s="7" t="s">
        <v>47</v>
      </c>
      <c r="J97" s="8">
        <v>46119</v>
      </c>
      <c r="K97" s="8">
        <v>46097</v>
      </c>
      <c r="L97" s="7" t="s">
        <v>41</v>
      </c>
      <c r="M97" s="7" t="s">
        <v>286</v>
      </c>
      <c r="O97" s="7" t="s">
        <v>187</v>
      </c>
      <c r="R97" s="7">
        <v>2026</v>
      </c>
      <c r="S97" s="7">
        <v>89</v>
      </c>
      <c r="T97" s="7" t="s">
        <v>275</v>
      </c>
    </row>
    <row r="98" spans="1:20" ht="32" x14ac:dyDescent="0.2">
      <c r="A98" s="7">
        <v>90</v>
      </c>
      <c r="B98" s="7">
        <v>12</v>
      </c>
      <c r="C98" s="8">
        <v>46097</v>
      </c>
      <c r="D98" s="7" t="s">
        <v>272</v>
      </c>
      <c r="E98" s="7" t="s">
        <v>44</v>
      </c>
      <c r="F98" s="7" t="s">
        <v>287</v>
      </c>
      <c r="G98" s="7" t="s">
        <v>134</v>
      </c>
      <c r="H98" s="7" t="s">
        <v>135</v>
      </c>
      <c r="I98" s="7" t="s">
        <v>32</v>
      </c>
      <c r="J98" s="8">
        <v>46119</v>
      </c>
      <c r="K98" s="8">
        <v>46097</v>
      </c>
      <c r="L98" s="7" t="s">
        <v>41</v>
      </c>
      <c r="M98" s="7" t="s">
        <v>286</v>
      </c>
      <c r="O98" s="7" t="s">
        <v>187</v>
      </c>
      <c r="R98" s="7">
        <v>2026</v>
      </c>
      <c r="S98" s="7">
        <v>90</v>
      </c>
      <c r="T98" s="7" t="s">
        <v>275</v>
      </c>
    </row>
    <row r="99" spans="1:20" ht="16" x14ac:dyDescent="0.2">
      <c r="A99" s="97">
        <v>91</v>
      </c>
      <c r="B99" s="7">
        <v>12</v>
      </c>
      <c r="C99" s="8">
        <v>46097</v>
      </c>
      <c r="D99" s="7" t="s">
        <v>272</v>
      </c>
      <c r="E99" s="7" t="s">
        <v>44</v>
      </c>
      <c r="F99" s="7" t="s">
        <v>288</v>
      </c>
      <c r="G99" s="7" t="s">
        <v>134</v>
      </c>
      <c r="H99" s="7" t="s">
        <v>38</v>
      </c>
      <c r="I99" s="7" t="s">
        <v>32</v>
      </c>
      <c r="J99" s="8">
        <v>46119</v>
      </c>
      <c r="K99" s="8">
        <v>46097</v>
      </c>
      <c r="L99" s="7" t="s">
        <v>41</v>
      </c>
      <c r="M99" s="7" t="s">
        <v>277</v>
      </c>
      <c r="O99" s="7" t="s">
        <v>187</v>
      </c>
      <c r="R99" s="7">
        <v>2026</v>
      </c>
      <c r="S99" s="7">
        <v>91</v>
      </c>
      <c r="T99" s="7" t="s">
        <v>275</v>
      </c>
    </row>
    <row r="100" spans="1:20" ht="16" x14ac:dyDescent="0.2">
      <c r="A100" s="7">
        <v>92</v>
      </c>
      <c r="B100" s="7">
        <v>12</v>
      </c>
      <c r="C100" s="8">
        <v>46097</v>
      </c>
      <c r="D100" s="7" t="s">
        <v>272</v>
      </c>
      <c r="E100" s="7" t="s">
        <v>44</v>
      </c>
      <c r="F100" s="7" t="s">
        <v>289</v>
      </c>
      <c r="G100" s="7" t="s">
        <v>44</v>
      </c>
      <c r="H100" s="7" t="s">
        <v>50</v>
      </c>
      <c r="I100" s="7" t="s">
        <v>47</v>
      </c>
      <c r="J100" s="8">
        <v>46119</v>
      </c>
      <c r="K100" s="8">
        <v>46097</v>
      </c>
      <c r="L100" s="7" t="s">
        <v>41</v>
      </c>
      <c r="M100" s="7" t="s">
        <v>274</v>
      </c>
      <c r="O100" s="7" t="s">
        <v>187</v>
      </c>
      <c r="R100" s="7">
        <v>2026</v>
      </c>
      <c r="S100" s="7">
        <v>92</v>
      </c>
      <c r="T100" s="7" t="s">
        <v>275</v>
      </c>
    </row>
    <row r="101" spans="1:20" ht="32" x14ac:dyDescent="0.2">
      <c r="A101" s="97">
        <v>93</v>
      </c>
      <c r="B101" s="7">
        <v>12</v>
      </c>
      <c r="C101" s="8">
        <v>46097</v>
      </c>
      <c r="D101" s="7" t="s">
        <v>272</v>
      </c>
      <c r="E101" s="7" t="s">
        <v>44</v>
      </c>
      <c r="F101" s="7" t="s">
        <v>290</v>
      </c>
      <c r="G101" s="7" t="s">
        <v>134</v>
      </c>
      <c r="H101" s="7" t="s">
        <v>50</v>
      </c>
      <c r="I101" s="7" t="s">
        <v>47</v>
      </c>
      <c r="J101" s="8">
        <v>46128</v>
      </c>
      <c r="K101" s="8">
        <v>46097</v>
      </c>
      <c r="L101" s="7" t="s">
        <v>41</v>
      </c>
      <c r="M101" s="7" t="s">
        <v>274</v>
      </c>
      <c r="O101" s="7" t="s">
        <v>187</v>
      </c>
      <c r="R101" s="7">
        <v>2026</v>
      </c>
      <c r="S101" s="7">
        <v>93</v>
      </c>
      <c r="T101" s="7" t="s">
        <v>275</v>
      </c>
    </row>
    <row r="102" spans="1:20" ht="32" x14ac:dyDescent="0.2">
      <c r="A102" s="7">
        <v>94</v>
      </c>
      <c r="B102" s="7">
        <v>12</v>
      </c>
      <c r="C102" s="8">
        <v>46097</v>
      </c>
      <c r="D102" s="7" t="s">
        <v>65</v>
      </c>
      <c r="E102" s="7" t="s">
        <v>44</v>
      </c>
      <c r="F102" s="7" t="s">
        <v>291</v>
      </c>
      <c r="G102" s="7" t="s">
        <v>44</v>
      </c>
      <c r="H102" s="7" t="s">
        <v>35</v>
      </c>
      <c r="I102" s="7" t="s">
        <v>32</v>
      </c>
      <c r="J102" s="8">
        <v>46128</v>
      </c>
      <c r="K102" s="8">
        <v>46097</v>
      </c>
      <c r="L102" s="7" t="s">
        <v>41</v>
      </c>
      <c r="M102" s="7" t="s">
        <v>274</v>
      </c>
      <c r="O102" s="7" t="s">
        <v>187</v>
      </c>
      <c r="R102" s="7">
        <v>2026</v>
      </c>
      <c r="S102" s="7">
        <v>94</v>
      </c>
      <c r="T102" s="7" t="s">
        <v>136</v>
      </c>
    </row>
    <row r="103" spans="1:20" ht="32" x14ac:dyDescent="0.2">
      <c r="A103" s="97">
        <v>95</v>
      </c>
      <c r="B103" s="7">
        <v>13</v>
      </c>
      <c r="C103" s="8">
        <v>46097</v>
      </c>
      <c r="D103" s="7" t="s">
        <v>213</v>
      </c>
      <c r="E103" s="7" t="s">
        <v>44</v>
      </c>
      <c r="F103" s="7" t="s">
        <v>138</v>
      </c>
      <c r="G103" s="7" t="s">
        <v>44</v>
      </c>
      <c r="H103" s="7" t="s">
        <v>48</v>
      </c>
      <c r="I103" s="7" t="s">
        <v>47</v>
      </c>
      <c r="J103" s="8">
        <v>46118</v>
      </c>
      <c r="K103" s="8">
        <v>46118</v>
      </c>
      <c r="L103" s="7" t="s">
        <v>33</v>
      </c>
      <c r="M103" s="7" t="s">
        <v>259</v>
      </c>
      <c r="O103" s="7" t="s">
        <v>187</v>
      </c>
      <c r="R103" s="7">
        <v>2026</v>
      </c>
      <c r="S103" s="7">
        <v>95</v>
      </c>
      <c r="T103" s="7" t="s">
        <v>292</v>
      </c>
    </row>
    <row r="104" spans="1:20" ht="32" x14ac:dyDescent="0.2">
      <c r="A104" s="7">
        <v>96</v>
      </c>
      <c r="B104" s="7">
        <v>11</v>
      </c>
      <c r="C104" s="8">
        <v>46091</v>
      </c>
      <c r="D104" s="7" t="s">
        <v>272</v>
      </c>
      <c r="E104" s="7" t="s">
        <v>44</v>
      </c>
      <c r="F104" s="7" t="s">
        <v>139</v>
      </c>
      <c r="G104" s="7" t="s">
        <v>39</v>
      </c>
      <c r="H104" s="7" t="s">
        <v>46</v>
      </c>
      <c r="I104" s="7" t="s">
        <v>47</v>
      </c>
      <c r="J104" s="8">
        <v>46091</v>
      </c>
      <c r="K104" s="8">
        <v>46091</v>
      </c>
      <c r="L104" s="7" t="s">
        <v>33</v>
      </c>
      <c r="M104" s="7" t="s">
        <v>293</v>
      </c>
      <c r="O104" s="7" t="s">
        <v>187</v>
      </c>
      <c r="R104" s="7">
        <v>2026</v>
      </c>
      <c r="S104" s="7">
        <v>96</v>
      </c>
      <c r="T104" s="7" t="s">
        <v>294</v>
      </c>
    </row>
    <row r="105" spans="1:20" ht="32" x14ac:dyDescent="0.2">
      <c r="A105" s="97">
        <v>97</v>
      </c>
      <c r="B105" s="7">
        <v>10</v>
      </c>
      <c r="C105" s="8">
        <v>46084</v>
      </c>
      <c r="D105" s="7" t="s">
        <v>140</v>
      </c>
      <c r="E105" s="7" t="s">
        <v>44</v>
      </c>
      <c r="F105" s="7" t="s">
        <v>141</v>
      </c>
      <c r="G105" s="7" t="s">
        <v>39</v>
      </c>
      <c r="H105" s="7" t="s">
        <v>46</v>
      </c>
      <c r="I105" s="7" t="s">
        <v>47</v>
      </c>
      <c r="J105" s="8">
        <v>46084</v>
      </c>
      <c r="K105" s="8">
        <v>46084</v>
      </c>
      <c r="L105" s="7" t="s">
        <v>33</v>
      </c>
      <c r="M105" s="7" t="s">
        <v>295</v>
      </c>
      <c r="O105" s="7" t="s">
        <v>187</v>
      </c>
      <c r="R105" s="7">
        <v>2026</v>
      </c>
      <c r="S105" s="7">
        <v>97</v>
      </c>
      <c r="T105" s="7" t="s">
        <v>142</v>
      </c>
    </row>
    <row r="106" spans="1:20" ht="32" x14ac:dyDescent="0.2">
      <c r="A106" s="7">
        <v>98</v>
      </c>
      <c r="B106" s="7">
        <v>10</v>
      </c>
      <c r="C106" s="8">
        <v>46084</v>
      </c>
      <c r="D106" s="7" t="s">
        <v>140</v>
      </c>
      <c r="E106" s="7" t="s">
        <v>44</v>
      </c>
      <c r="F106" s="7" t="s">
        <v>143</v>
      </c>
      <c r="G106" s="7" t="s">
        <v>39</v>
      </c>
      <c r="H106" s="7" t="s">
        <v>48</v>
      </c>
      <c r="I106" s="7" t="s">
        <v>47</v>
      </c>
      <c r="J106" s="8">
        <v>46090</v>
      </c>
      <c r="K106" s="8">
        <v>46084</v>
      </c>
      <c r="L106" s="7" t="s">
        <v>41</v>
      </c>
      <c r="M106" s="7" t="s">
        <v>296</v>
      </c>
      <c r="O106" s="7" t="s">
        <v>187</v>
      </c>
      <c r="R106" s="7">
        <v>2026</v>
      </c>
      <c r="S106" s="7">
        <v>98</v>
      </c>
      <c r="T106" s="7" t="s">
        <v>142</v>
      </c>
    </row>
    <row r="107" spans="1:20" ht="48" x14ac:dyDescent="0.2">
      <c r="A107" s="97">
        <v>99</v>
      </c>
      <c r="B107" s="7">
        <v>10</v>
      </c>
      <c r="C107" s="8">
        <v>46084</v>
      </c>
      <c r="D107" s="7" t="s">
        <v>140</v>
      </c>
      <c r="E107" s="7" t="s">
        <v>44</v>
      </c>
      <c r="F107" s="7" t="s">
        <v>144</v>
      </c>
      <c r="G107" s="7" t="s">
        <v>39</v>
      </c>
      <c r="H107" s="7" t="s">
        <v>119</v>
      </c>
      <c r="I107" s="7" t="s">
        <v>47</v>
      </c>
      <c r="J107" s="8">
        <v>46090</v>
      </c>
      <c r="K107" s="8">
        <v>46084</v>
      </c>
      <c r="L107" s="7" t="s">
        <v>41</v>
      </c>
      <c r="M107" s="7" t="s">
        <v>297</v>
      </c>
      <c r="O107" s="7" t="s">
        <v>187</v>
      </c>
      <c r="R107" s="7">
        <v>2026</v>
      </c>
      <c r="S107" s="7">
        <v>99</v>
      </c>
      <c r="T107" s="7" t="s">
        <v>142</v>
      </c>
    </row>
    <row r="108" spans="1:20" ht="48" x14ac:dyDescent="0.2">
      <c r="A108" s="7">
        <v>100</v>
      </c>
      <c r="B108" s="7">
        <v>10</v>
      </c>
      <c r="C108" s="8">
        <v>46084</v>
      </c>
      <c r="D108" s="7" t="s">
        <v>88</v>
      </c>
      <c r="E108" s="7" t="s">
        <v>44</v>
      </c>
      <c r="F108" s="7" t="s">
        <v>145</v>
      </c>
      <c r="G108" s="7" t="s">
        <v>30</v>
      </c>
      <c r="H108" s="7" t="s">
        <v>35</v>
      </c>
      <c r="I108" s="7" t="s">
        <v>47</v>
      </c>
      <c r="J108" s="8">
        <v>46090</v>
      </c>
      <c r="K108" s="8">
        <v>46084</v>
      </c>
      <c r="L108" s="7" t="s">
        <v>41</v>
      </c>
      <c r="M108" s="7" t="s">
        <v>298</v>
      </c>
      <c r="O108" s="7" t="s">
        <v>187</v>
      </c>
      <c r="R108" s="7">
        <v>2026</v>
      </c>
      <c r="S108" s="7">
        <v>100</v>
      </c>
      <c r="T108" s="7" t="s">
        <v>146</v>
      </c>
    </row>
    <row r="109" spans="1:20" ht="32" x14ac:dyDescent="0.2">
      <c r="A109" s="97">
        <v>101</v>
      </c>
      <c r="B109" s="7">
        <v>10</v>
      </c>
      <c r="C109" s="8">
        <v>46084</v>
      </c>
      <c r="D109" s="7" t="s">
        <v>62</v>
      </c>
      <c r="E109" s="7" t="s">
        <v>44</v>
      </c>
      <c r="F109" s="7" t="s">
        <v>147</v>
      </c>
      <c r="G109" s="7" t="s">
        <v>39</v>
      </c>
      <c r="H109" s="7" t="s">
        <v>105</v>
      </c>
      <c r="I109" s="7" t="s">
        <v>47</v>
      </c>
      <c r="J109" s="8">
        <v>46084</v>
      </c>
      <c r="K109" s="8">
        <v>46084</v>
      </c>
      <c r="L109" s="7" t="s">
        <v>33</v>
      </c>
      <c r="M109" s="7" t="s">
        <v>299</v>
      </c>
      <c r="O109" s="7" t="s">
        <v>187</v>
      </c>
      <c r="R109" s="7">
        <v>2026</v>
      </c>
      <c r="S109" s="7">
        <v>101</v>
      </c>
      <c r="T109" s="7" t="s">
        <v>148</v>
      </c>
    </row>
    <row r="110" spans="1:20" ht="32" x14ac:dyDescent="0.2">
      <c r="A110" s="7">
        <v>102</v>
      </c>
      <c r="B110" s="7">
        <v>10</v>
      </c>
      <c r="C110" s="8">
        <v>46083</v>
      </c>
      <c r="D110" s="7" t="s">
        <v>62</v>
      </c>
      <c r="E110" s="7" t="s">
        <v>214</v>
      </c>
      <c r="F110" s="7" t="s">
        <v>149</v>
      </c>
      <c r="G110" s="7" t="s">
        <v>49</v>
      </c>
      <c r="H110" s="7" t="s">
        <v>46</v>
      </c>
      <c r="I110" s="7" t="s">
        <v>47</v>
      </c>
      <c r="J110" s="8">
        <v>46083</v>
      </c>
      <c r="K110" s="8">
        <v>46083</v>
      </c>
      <c r="L110" s="7" t="s">
        <v>33</v>
      </c>
      <c r="M110" s="7" t="s">
        <v>149</v>
      </c>
      <c r="O110" s="7" t="s">
        <v>187</v>
      </c>
      <c r="R110" s="7">
        <v>2026</v>
      </c>
      <c r="S110" s="7">
        <v>102</v>
      </c>
      <c r="T110" s="7" t="s">
        <v>148</v>
      </c>
    </row>
    <row r="111" spans="1:20" ht="32" x14ac:dyDescent="0.2">
      <c r="A111" s="97">
        <v>103</v>
      </c>
      <c r="B111" s="7">
        <v>10</v>
      </c>
      <c r="C111" s="8">
        <v>46083</v>
      </c>
      <c r="D111" s="7" t="s">
        <v>40</v>
      </c>
      <c r="E111" s="7" t="s">
        <v>44</v>
      </c>
      <c r="F111" s="7" t="s">
        <v>150</v>
      </c>
      <c r="G111" s="7" t="s">
        <v>49</v>
      </c>
      <c r="H111" s="7" t="s">
        <v>46</v>
      </c>
      <c r="I111" s="7" t="s">
        <v>47</v>
      </c>
      <c r="J111" s="8">
        <v>46083</v>
      </c>
      <c r="K111" s="8">
        <v>46083</v>
      </c>
      <c r="L111" s="7" t="s">
        <v>33</v>
      </c>
      <c r="M111" s="7" t="s">
        <v>300</v>
      </c>
      <c r="O111" s="7" t="s">
        <v>187</v>
      </c>
      <c r="R111" s="7">
        <v>2026</v>
      </c>
      <c r="S111" s="7">
        <v>103</v>
      </c>
      <c r="T111" s="7" t="s">
        <v>151</v>
      </c>
    </row>
    <row r="112" spans="1:20" ht="32" x14ac:dyDescent="0.2">
      <c r="A112" s="7">
        <v>104</v>
      </c>
      <c r="B112" s="7">
        <v>9</v>
      </c>
      <c r="C112" s="8">
        <v>46079</v>
      </c>
      <c r="D112" s="7" t="s">
        <v>62</v>
      </c>
      <c r="E112" s="7" t="s">
        <v>214</v>
      </c>
      <c r="F112" s="7" t="s">
        <v>152</v>
      </c>
      <c r="G112" s="7" t="s">
        <v>49</v>
      </c>
      <c r="H112" s="7" t="s">
        <v>46</v>
      </c>
      <c r="I112" s="7" t="s">
        <v>47</v>
      </c>
      <c r="J112" s="8">
        <v>46079</v>
      </c>
      <c r="K112" s="8">
        <v>46079</v>
      </c>
      <c r="L112" s="7" t="s">
        <v>33</v>
      </c>
      <c r="M112" s="7" t="s">
        <v>301</v>
      </c>
      <c r="O112" s="7" t="s">
        <v>187</v>
      </c>
      <c r="R112" s="7">
        <v>2026</v>
      </c>
      <c r="S112" s="7">
        <v>104</v>
      </c>
      <c r="T112" s="7" t="s">
        <v>153</v>
      </c>
    </row>
    <row r="113" spans="1:20" ht="32" x14ac:dyDescent="0.2">
      <c r="A113" s="97">
        <v>105</v>
      </c>
      <c r="B113" s="7">
        <v>9</v>
      </c>
      <c r="C113" s="8">
        <v>46077</v>
      </c>
      <c r="D113" s="7" t="s">
        <v>62</v>
      </c>
      <c r="E113" s="7" t="s">
        <v>214</v>
      </c>
      <c r="F113" s="7" t="s">
        <v>154</v>
      </c>
      <c r="G113" s="7" t="s">
        <v>215</v>
      </c>
      <c r="H113" s="7" t="s">
        <v>46</v>
      </c>
      <c r="I113" s="7" t="s">
        <v>47</v>
      </c>
      <c r="J113" s="8">
        <v>46077</v>
      </c>
      <c r="K113" s="8">
        <v>46105</v>
      </c>
      <c r="L113" s="7" t="s">
        <v>41</v>
      </c>
      <c r="M113" s="7" t="s">
        <v>302</v>
      </c>
      <c r="O113" s="7" t="s">
        <v>187</v>
      </c>
      <c r="R113" s="7">
        <v>2026</v>
      </c>
      <c r="S113" s="7">
        <v>105</v>
      </c>
      <c r="T113" s="7" t="s">
        <v>153</v>
      </c>
    </row>
    <row r="114" spans="1:20" ht="32" x14ac:dyDescent="0.2">
      <c r="A114" s="7">
        <v>106</v>
      </c>
      <c r="B114" s="7">
        <v>8</v>
      </c>
      <c r="C114" s="8">
        <v>46070</v>
      </c>
      <c r="D114" s="7" t="s">
        <v>62</v>
      </c>
      <c r="E114" s="7" t="s">
        <v>214</v>
      </c>
      <c r="F114" s="7" t="s">
        <v>155</v>
      </c>
      <c r="G114" s="7" t="s">
        <v>215</v>
      </c>
      <c r="H114" s="7" t="s">
        <v>46</v>
      </c>
      <c r="I114" s="7" t="s">
        <v>47</v>
      </c>
      <c r="J114" s="8">
        <v>46070</v>
      </c>
      <c r="K114" s="8">
        <v>46070</v>
      </c>
      <c r="L114" s="7" t="s">
        <v>33</v>
      </c>
      <c r="M114" s="7" t="s">
        <v>303</v>
      </c>
      <c r="O114" s="7" t="s">
        <v>187</v>
      </c>
      <c r="R114" s="7">
        <v>2026</v>
      </c>
      <c r="S114" s="7">
        <v>106</v>
      </c>
      <c r="T114" s="7" t="s">
        <v>156</v>
      </c>
    </row>
    <row r="115" spans="1:20" ht="32" x14ac:dyDescent="0.2">
      <c r="A115" s="46">
        <v>107</v>
      </c>
      <c r="B115" s="7">
        <v>8</v>
      </c>
      <c r="C115" s="8">
        <v>46069</v>
      </c>
      <c r="D115" s="7" t="s">
        <v>62</v>
      </c>
      <c r="E115" s="7" t="s">
        <v>214</v>
      </c>
      <c r="F115" s="7" t="s">
        <v>157</v>
      </c>
      <c r="G115" s="7" t="s">
        <v>215</v>
      </c>
      <c r="H115" s="7" t="s">
        <v>46</v>
      </c>
      <c r="I115" s="7" t="s">
        <v>47</v>
      </c>
      <c r="J115" s="8">
        <v>46069</v>
      </c>
      <c r="K115" s="8">
        <v>46069</v>
      </c>
      <c r="L115" s="7" t="s">
        <v>33</v>
      </c>
      <c r="M115" s="7" t="s">
        <v>304</v>
      </c>
      <c r="O115" s="7" t="s">
        <v>187</v>
      </c>
      <c r="R115" s="7">
        <v>2026</v>
      </c>
      <c r="S115" s="7">
        <v>107</v>
      </c>
      <c r="T115" s="7" t="s">
        <v>156</v>
      </c>
    </row>
  </sheetData>
  <sheetProtection formatCells="0" formatRows="0" insertColumns="0" insertRows="0" insertHyperlinks="0" deleteColumns="0" deleteRows="0" sort="0" autoFilter="0" pivotTables="0"/>
  <mergeCells count="8">
    <mergeCell ref="A1:G7"/>
    <mergeCell ref="M1:M2"/>
    <mergeCell ref="N1:Q1"/>
    <mergeCell ref="L1:L2"/>
    <mergeCell ref="H1:H2"/>
    <mergeCell ref="I1:I2"/>
    <mergeCell ref="J1:J2"/>
    <mergeCell ref="K1:K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S1:V11"/>
  <sheetViews>
    <sheetView workbookViewId="0">
      <selection activeCell="O1" sqref="O1"/>
    </sheetView>
  </sheetViews>
  <sheetFormatPr baseColWidth="10" defaultColWidth="8.83203125" defaultRowHeight="15" x14ac:dyDescent="0.2"/>
  <sheetData>
    <row r="1" spans="19:22" x14ac:dyDescent="0.2">
      <c r="S1" s="89" t="s">
        <v>158</v>
      </c>
      <c r="T1" s="90"/>
      <c r="U1" s="81">
        <f>INDEX(Bilgiler!H:H,2)</f>
        <v>0</v>
      </c>
      <c r="V1" s="82"/>
    </row>
    <row r="2" spans="19:22" x14ac:dyDescent="0.2">
      <c r="S2" s="91"/>
      <c r="T2" s="92"/>
      <c r="U2" s="83"/>
      <c r="V2" s="84"/>
    </row>
    <row r="3" spans="19:22" x14ac:dyDescent="0.2">
      <c r="S3" s="91" t="s">
        <v>159</v>
      </c>
      <c r="T3" s="92"/>
      <c r="U3" s="83">
        <f>INDEX(Bilgiler!I:I,2)</f>
        <v>0</v>
      </c>
      <c r="V3" s="84"/>
    </row>
    <row r="4" spans="19:22" x14ac:dyDescent="0.2">
      <c r="S4" s="91"/>
      <c r="T4" s="92"/>
      <c r="U4" s="83"/>
      <c r="V4" s="84"/>
    </row>
    <row r="5" spans="19:22" x14ac:dyDescent="0.2">
      <c r="S5" s="91" t="s">
        <v>160</v>
      </c>
      <c r="T5" s="92"/>
      <c r="U5" s="83">
        <f>INDEX(Bilgiler!J:J,2)</f>
        <v>0</v>
      </c>
      <c r="V5" s="84"/>
    </row>
    <row r="6" spans="19:22" ht="16" thickBot="1" x14ac:dyDescent="0.25">
      <c r="S6" s="93"/>
      <c r="T6" s="94"/>
      <c r="U6" s="87"/>
      <c r="V6" s="88"/>
    </row>
    <row r="7" spans="19:22" ht="16" thickBot="1" x14ac:dyDescent="0.25"/>
    <row r="8" spans="19:22" x14ac:dyDescent="0.2">
      <c r="S8" s="77" t="s">
        <v>161</v>
      </c>
      <c r="T8" s="78"/>
      <c r="U8" s="81">
        <f>COUNTA('Proje Raporu'!B:B)-2</f>
        <v>106</v>
      </c>
      <c r="V8" s="82"/>
    </row>
    <row r="9" spans="19:22" x14ac:dyDescent="0.2">
      <c r="S9" s="79"/>
      <c r="T9" s="80"/>
      <c r="U9" s="83"/>
      <c r="V9" s="84"/>
    </row>
    <row r="10" spans="19:22" x14ac:dyDescent="0.2">
      <c r="S10" s="79" t="s">
        <v>162</v>
      </c>
      <c r="T10" s="80"/>
      <c r="U10" s="83">
        <f>COUNTA('Proje Raporu'!G:G)-1</f>
        <v>107</v>
      </c>
      <c r="V10" s="84"/>
    </row>
    <row r="11" spans="19:22" ht="16" thickBot="1" x14ac:dyDescent="0.25">
      <c r="S11" s="85"/>
      <c r="T11" s="86"/>
      <c r="U11" s="87"/>
      <c r="V11" s="88"/>
    </row>
  </sheetData>
  <mergeCells count="10">
    <mergeCell ref="S8:T9"/>
    <mergeCell ref="U8:V9"/>
    <mergeCell ref="S10:T11"/>
    <mergeCell ref="U10:V11"/>
    <mergeCell ref="S1:T2"/>
    <mergeCell ref="U1:V2"/>
    <mergeCell ref="S3:T4"/>
    <mergeCell ref="U3:V4"/>
    <mergeCell ref="S5:T6"/>
    <mergeCell ref="U5:V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9"/>
  <sheetViews>
    <sheetView workbookViewId="0">
      <selection activeCell="AK4" sqref="AK4"/>
    </sheetView>
  </sheetViews>
  <sheetFormatPr baseColWidth="10" defaultColWidth="8.83203125" defaultRowHeight="15" x14ac:dyDescent="0.2"/>
  <cols>
    <col min="1" max="1" width="15.33203125" bestFit="1" customWidth="1"/>
    <col min="2" max="2" width="18.33203125" bestFit="1" customWidth="1"/>
    <col min="3" max="3" width="11.6640625" bestFit="1" customWidth="1"/>
    <col min="4" max="4" width="5.83203125" bestFit="1" customWidth="1"/>
    <col min="5" max="5" width="5.5" customWidth="1"/>
    <col min="6" max="6" width="12.5" bestFit="1" customWidth="1"/>
    <col min="7" max="7" width="10.5" bestFit="1" customWidth="1"/>
    <col min="8" max="8" width="15.33203125" bestFit="1" customWidth="1"/>
    <col min="9" max="9" width="18.33203125" bestFit="1" customWidth="1"/>
    <col min="10" max="10" width="11.1640625" bestFit="1" customWidth="1"/>
    <col min="11" max="11" width="17.33203125" bestFit="1" customWidth="1"/>
    <col min="13" max="13" width="18.6640625" bestFit="1" customWidth="1"/>
    <col min="14" max="14" width="18.33203125" bestFit="1" customWidth="1"/>
    <col min="15" max="15" width="4.5" customWidth="1"/>
    <col min="16" max="16" width="7.1640625" customWidth="1"/>
    <col min="17" max="17" width="5.33203125" customWidth="1"/>
    <col min="18" max="18" width="7.83203125" bestFit="1" customWidth="1"/>
    <col min="19" max="19" width="18.33203125" bestFit="1" customWidth="1"/>
    <col min="21" max="21" width="14.5" bestFit="1" customWidth="1"/>
    <col min="22" max="22" width="18.33203125" bestFit="1" customWidth="1"/>
    <col min="23" max="23" width="11.1640625" bestFit="1" customWidth="1"/>
    <col min="25" max="25" width="14.5" bestFit="1" customWidth="1"/>
    <col min="26" max="26" width="18.33203125" bestFit="1" customWidth="1"/>
    <col min="27" max="27" width="11.6640625" bestFit="1" customWidth="1"/>
    <col min="28" max="28" width="5.83203125" bestFit="1" customWidth="1"/>
    <col min="29" max="29" width="5.5" customWidth="1"/>
    <col min="31" max="31" width="15.6640625" bestFit="1" customWidth="1"/>
    <col min="32" max="32" width="11.83203125" bestFit="1" customWidth="1"/>
    <col min="33" max="33" width="12.6640625" bestFit="1" customWidth="1"/>
    <col min="34" max="34" width="17.83203125" bestFit="1" customWidth="1"/>
    <col min="35" max="35" width="11.83203125" bestFit="1" customWidth="1"/>
    <col min="37" max="37" width="11.1640625" bestFit="1" customWidth="1"/>
    <col min="38" max="38" width="11.83203125" bestFit="1" customWidth="1"/>
    <col min="40" max="40" width="14.5" bestFit="1" customWidth="1"/>
    <col min="41" max="41" width="5.1640625" bestFit="1" customWidth="1"/>
    <col min="42" max="42" width="4.33203125" bestFit="1" customWidth="1"/>
    <col min="43" max="43" width="9.33203125" bestFit="1" customWidth="1"/>
  </cols>
  <sheetData>
    <row r="1" spans="1:43" x14ac:dyDescent="0.2">
      <c r="A1" s="2" t="s">
        <v>163</v>
      </c>
      <c r="B1" s="2" t="s">
        <v>164</v>
      </c>
      <c r="H1" s="2" t="s">
        <v>163</v>
      </c>
      <c r="I1" s="2" t="s">
        <v>164</v>
      </c>
      <c r="M1" s="2" t="s">
        <v>165</v>
      </c>
      <c r="N1" s="2" t="s">
        <v>164</v>
      </c>
      <c r="R1" s="2" t="s">
        <v>0</v>
      </c>
      <c r="S1" t="s">
        <v>166</v>
      </c>
    </row>
    <row r="2" spans="1:43" x14ac:dyDescent="0.2">
      <c r="A2" s="2" t="s">
        <v>0</v>
      </c>
      <c r="B2" t="s">
        <v>32</v>
      </c>
      <c r="C2" t="s">
        <v>55</v>
      </c>
      <c r="D2" t="s">
        <v>47</v>
      </c>
      <c r="F2" s="1" t="s">
        <v>168</v>
      </c>
      <c r="H2" s="2" t="s">
        <v>0</v>
      </c>
      <c r="I2" t="s">
        <v>41</v>
      </c>
      <c r="J2" t="s">
        <v>33</v>
      </c>
      <c r="K2" s="1" t="s">
        <v>169</v>
      </c>
      <c r="M2" s="2" t="s">
        <v>0</v>
      </c>
      <c r="R2" s="3">
        <v>2026</v>
      </c>
      <c r="S2" s="95"/>
    </row>
    <row r="3" spans="1:43" x14ac:dyDescent="0.2">
      <c r="A3" s="3">
        <v>2026</v>
      </c>
      <c r="B3" s="95">
        <v>53</v>
      </c>
      <c r="C3" s="95">
        <v>11</v>
      </c>
      <c r="D3" s="95">
        <v>43</v>
      </c>
      <c r="F3" s="4" cm="1">
        <f t="array" ref="F3">IFERROR(INDEX($A:$Z,ROW(),MATCH("Kapalı",$2:$2,0)) /
SUM(
INDEX($A:$Z,ROW(),MATCH("Açık",$2:$2,0)),
INDEX($A:$Z,ROW(),MATCH("Kapalı",$2:$2,0)),
INDEX($A:$Z,ROW(),MATCH("Devam Ediyor",$2:$2,0))
),"")</f>
        <v>0.40186915887850466</v>
      </c>
      <c r="H3" s="3">
        <v>2026</v>
      </c>
      <c r="I3" s="95">
        <v>69</v>
      </c>
      <c r="J3" s="95">
        <v>38</v>
      </c>
      <c r="K3" s="5">
        <f>IFERROR(J3/(J3+I3),"")</f>
        <v>0.35514018691588783</v>
      </c>
      <c r="M3" s="3" t="s">
        <v>11</v>
      </c>
      <c r="R3" s="3" t="s">
        <v>11</v>
      </c>
      <c r="S3" s="95"/>
      <c r="U3" s="2" t="s">
        <v>170</v>
      </c>
      <c r="V3" s="2" t="s">
        <v>164</v>
      </c>
      <c r="Y3" s="2" t="s">
        <v>170</v>
      </c>
      <c r="Z3" s="2" t="s">
        <v>164</v>
      </c>
      <c r="AE3" s="2" t="s">
        <v>14</v>
      </c>
      <c r="AF3" t="s">
        <v>170</v>
      </c>
      <c r="AH3" s="2" t="s">
        <v>15</v>
      </c>
      <c r="AI3" t="s">
        <v>170</v>
      </c>
      <c r="AK3" s="2" t="s">
        <v>17</v>
      </c>
      <c r="AL3" t="s">
        <v>170</v>
      </c>
      <c r="AN3" s="2" t="s">
        <v>171</v>
      </c>
      <c r="AO3" t="s">
        <v>172</v>
      </c>
      <c r="AP3" t="s">
        <v>173</v>
      </c>
      <c r="AQ3" t="s">
        <v>174</v>
      </c>
    </row>
    <row r="4" spans="1:43" x14ac:dyDescent="0.2">
      <c r="A4" s="3" t="s">
        <v>11</v>
      </c>
      <c r="B4" s="95">
        <v>53</v>
      </c>
      <c r="C4" s="95">
        <v>11</v>
      </c>
      <c r="D4" s="95">
        <v>43</v>
      </c>
      <c r="F4" s="4" cm="1">
        <f t="array" ref="F4">IFERROR(INDEX($A:$Z,ROW(),MATCH("Kapalı",$2:$2,0)) /
SUM(
INDEX($A:$Z,ROW(),MATCH("Açık",$2:$2,0)),
INDEX($A:$Z,ROW(),MATCH("Kapalı",$2:$2,0)),
INDEX($A:$Z,ROW(),MATCH("Devam Ediyor",$2:$2,0))
),"")</f>
        <v>0.40186915887850466</v>
      </c>
      <c r="H4" s="3" t="s">
        <v>11</v>
      </c>
      <c r="I4" s="95">
        <v>69</v>
      </c>
      <c r="J4" s="95">
        <v>38</v>
      </c>
      <c r="K4" s="5">
        <f t="shared" ref="K4:K16" si="0">IFERROR(J4/(J4+I4),"")</f>
        <v>0.35514018691588783</v>
      </c>
      <c r="U4" s="2" t="s">
        <v>175</v>
      </c>
      <c r="V4" t="s">
        <v>41</v>
      </c>
      <c r="W4" t="s">
        <v>33</v>
      </c>
      <c r="Y4" s="2" t="s">
        <v>175</v>
      </c>
      <c r="Z4" t="s">
        <v>32</v>
      </c>
      <c r="AA4" t="s">
        <v>55</v>
      </c>
      <c r="AB4" t="s">
        <v>47</v>
      </c>
      <c r="AE4" s="3" t="s">
        <v>62</v>
      </c>
      <c r="AF4" s="95">
        <v>9</v>
      </c>
      <c r="AH4" s="3" t="s">
        <v>57</v>
      </c>
      <c r="AI4" s="95">
        <v>2</v>
      </c>
      <c r="AK4" s="3" t="s">
        <v>42</v>
      </c>
      <c r="AL4" s="95">
        <v>1</v>
      </c>
      <c r="AN4" s="3" t="s">
        <v>167</v>
      </c>
      <c r="AO4" s="95"/>
      <c r="AP4" s="95"/>
      <c r="AQ4" s="95"/>
    </row>
    <row r="5" spans="1:43" x14ac:dyDescent="0.2">
      <c r="F5" s="4" t="str" cm="1">
        <f t="array" ref="F5">IFERROR(INDEX($A:$Z,ROW(),MATCH("Kapalı",$2:$2,0)) /
SUM(
INDEX($A:$Z,ROW(),MATCH("Açık",$2:$2,0)),
INDEX($A:$Z,ROW(),MATCH("Kapalı",$2:$2,0)),
INDEX($A:$Z,ROW(),MATCH("Devam Ediyor",$2:$2,0))
),"")</f>
        <v/>
      </c>
      <c r="K5" s="5" t="str">
        <f t="shared" si="0"/>
        <v/>
      </c>
      <c r="U5" s="3" t="s">
        <v>46</v>
      </c>
      <c r="V5" s="95">
        <v>2</v>
      </c>
      <c r="W5" s="95">
        <v>11</v>
      </c>
      <c r="Y5" s="3" t="s">
        <v>46</v>
      </c>
      <c r="Z5" s="95"/>
      <c r="AA5" s="95">
        <v>1</v>
      </c>
      <c r="AB5" s="95">
        <v>12</v>
      </c>
      <c r="AE5" s="3" t="s">
        <v>213</v>
      </c>
      <c r="AF5" s="95">
        <v>12</v>
      </c>
      <c r="AH5" s="3" t="s">
        <v>78</v>
      </c>
      <c r="AI5" s="95">
        <v>2</v>
      </c>
      <c r="AK5" s="3" t="s">
        <v>215</v>
      </c>
      <c r="AL5" s="95">
        <v>4</v>
      </c>
      <c r="AN5" s="3" t="s">
        <v>176</v>
      </c>
      <c r="AO5" s="95"/>
      <c r="AP5" s="95"/>
      <c r="AQ5" s="95"/>
    </row>
    <row r="6" spans="1:43" x14ac:dyDescent="0.2">
      <c r="F6" s="4" t="str" cm="1">
        <f t="array" ref="F6">IFERROR(INDEX($A:$Z,ROW(),MATCH("Kapalı",$2:$2,0)) /
SUM(
INDEX($A:$Z,ROW(),MATCH("Açık",$2:$2,0)),
INDEX($A:$Z,ROW(),MATCH("Kapalı",$2:$2,0)),
INDEX($A:$Z,ROW(),MATCH("Devam Ediyor",$2:$2,0))
),"")</f>
        <v/>
      </c>
      <c r="K6" s="5" t="str">
        <f t="shared" si="0"/>
        <v/>
      </c>
      <c r="U6" s="3" t="s">
        <v>35</v>
      </c>
      <c r="V6" s="95">
        <v>18</v>
      </c>
      <c r="W6" s="95">
        <v>6</v>
      </c>
      <c r="Y6" s="3" t="s">
        <v>35</v>
      </c>
      <c r="Z6" s="95">
        <v>18</v>
      </c>
      <c r="AA6" s="95">
        <v>4</v>
      </c>
      <c r="AB6" s="95">
        <v>2</v>
      </c>
      <c r="AE6" s="3" t="s">
        <v>209</v>
      </c>
      <c r="AF6" s="95">
        <v>1</v>
      </c>
      <c r="AH6" s="3" t="s">
        <v>191</v>
      </c>
      <c r="AI6" s="95">
        <v>3</v>
      </c>
      <c r="AK6" s="3" t="s">
        <v>39</v>
      </c>
      <c r="AL6" s="95">
        <v>19</v>
      </c>
    </row>
    <row r="7" spans="1:43" x14ac:dyDescent="0.2">
      <c r="F7" s="4" t="str" cm="1">
        <f t="array" ref="F7">IFERROR(INDEX($A:$Z,ROW(),MATCH("Kapalı",$2:$2,0)) /
SUM(
INDEX($A:$Z,ROW(),MATCH("Açık",$2:$2,0)),
INDEX($A:$Z,ROW(),MATCH("Kapalı",$2:$2,0)),
INDEX($A:$Z,ROW(),MATCH("Devam Ediyor",$2:$2,0))
),"")</f>
        <v/>
      </c>
      <c r="K7" s="5" t="str">
        <f t="shared" si="0"/>
        <v/>
      </c>
      <c r="U7" s="3" t="s">
        <v>105</v>
      </c>
      <c r="V7" s="95">
        <v>7</v>
      </c>
      <c r="W7" s="95">
        <v>1</v>
      </c>
      <c r="Y7" s="3" t="s">
        <v>105</v>
      </c>
      <c r="Z7" s="95">
        <v>3</v>
      </c>
      <c r="AA7" s="95">
        <v>4</v>
      </c>
      <c r="AB7" s="95">
        <v>1</v>
      </c>
      <c r="AE7" s="3" t="s">
        <v>40</v>
      </c>
      <c r="AF7" s="95">
        <v>7</v>
      </c>
      <c r="AH7" s="3" t="s">
        <v>30</v>
      </c>
      <c r="AI7" s="95">
        <v>26</v>
      </c>
      <c r="AK7" s="3" t="s">
        <v>44</v>
      </c>
      <c r="AL7" s="95">
        <v>23</v>
      </c>
    </row>
    <row r="8" spans="1:43" x14ac:dyDescent="0.2">
      <c r="A8" s="3"/>
      <c r="F8" s="4" t="str" cm="1">
        <f t="array" ref="F8">IFERROR(INDEX($A:$Z,ROW(),MATCH("Kapalı",$2:$2,0)) /
SUM(
INDEX($A:$Z,ROW(),MATCH("Açık",$2:$2,0)),
INDEX($A:$Z,ROW(),MATCH("Kapalı",$2:$2,0)),
INDEX($A:$Z,ROW(),MATCH("Devam Ediyor",$2:$2,0))
),"")</f>
        <v/>
      </c>
      <c r="K8" s="5" t="str">
        <f t="shared" si="0"/>
        <v/>
      </c>
      <c r="U8" s="3" t="s">
        <v>50</v>
      </c>
      <c r="V8" s="95">
        <v>11</v>
      </c>
      <c r="W8" s="95"/>
      <c r="Y8" s="3" t="s">
        <v>50</v>
      </c>
      <c r="Z8" s="95"/>
      <c r="AA8" s="95"/>
      <c r="AB8" s="95">
        <v>11</v>
      </c>
      <c r="AE8" s="3" t="s">
        <v>98</v>
      </c>
      <c r="AF8" s="95">
        <v>2</v>
      </c>
      <c r="AH8" s="3" t="s">
        <v>214</v>
      </c>
      <c r="AI8" s="95">
        <v>6</v>
      </c>
      <c r="AK8" s="3" t="s">
        <v>49</v>
      </c>
      <c r="AL8" s="95">
        <v>4</v>
      </c>
    </row>
    <row r="9" spans="1:43" x14ac:dyDescent="0.2">
      <c r="A9" s="3"/>
      <c r="F9" s="4" t="str" cm="1">
        <f t="array" ref="F9">IFERROR(INDEX($A:$Z,ROW(),MATCH("Kapalı",$2:$2,0)) /
SUM(
INDEX($A:$Z,ROW(),MATCH("Açık",$2:$2,0)),
INDEX($A:$Z,ROW(),MATCH("Kapalı",$2:$2,0)),
INDEX($A:$Z,ROW(),MATCH("Devam Ediyor",$2:$2,0))
),"")</f>
        <v/>
      </c>
      <c r="K9" s="5" t="str">
        <f t="shared" si="0"/>
        <v/>
      </c>
      <c r="U9" s="3" t="s">
        <v>48</v>
      </c>
      <c r="V9" s="95">
        <v>7</v>
      </c>
      <c r="W9" s="95">
        <v>6</v>
      </c>
      <c r="Y9" s="3" t="s">
        <v>48</v>
      </c>
      <c r="Z9" s="95">
        <v>2</v>
      </c>
      <c r="AA9" s="95"/>
      <c r="AB9" s="95">
        <v>11</v>
      </c>
      <c r="AE9" s="3" t="s">
        <v>272</v>
      </c>
      <c r="AF9" s="95">
        <v>11</v>
      </c>
      <c r="AH9" s="3" t="s">
        <v>44</v>
      </c>
      <c r="AI9" s="95">
        <v>68</v>
      </c>
      <c r="AK9" s="3" t="s">
        <v>37</v>
      </c>
      <c r="AL9" s="95">
        <v>21</v>
      </c>
    </row>
    <row r="10" spans="1:43" x14ac:dyDescent="0.2">
      <c r="F10" s="4" t="str" cm="1">
        <f t="array" ref="F10">IFERROR(INDEX($A:$Z,ROW(),MATCH("Kapalı",$2:$2,0)) /
SUM(
INDEX($A:$Z,ROW(),MATCH("Açık",$2:$2,0)),
INDEX($A:$Z,ROW(),MATCH("Kapalı",$2:$2,0)),
INDEX($A:$Z,ROW(),MATCH("Devam Ediyor",$2:$2,0))
),"")</f>
        <v/>
      </c>
      <c r="K10" s="5" t="str">
        <f t="shared" si="0"/>
        <v/>
      </c>
      <c r="U10" s="3" t="s">
        <v>135</v>
      </c>
      <c r="V10" s="95">
        <v>2</v>
      </c>
      <c r="W10" s="95"/>
      <c r="Y10" s="3" t="s">
        <v>135</v>
      </c>
      <c r="Z10" s="95">
        <v>2</v>
      </c>
      <c r="AA10" s="95"/>
      <c r="AB10" s="95"/>
      <c r="AE10" s="3" t="s">
        <v>140</v>
      </c>
      <c r="AF10" s="95">
        <v>3</v>
      </c>
      <c r="AH10" s="3" t="s">
        <v>11</v>
      </c>
      <c r="AI10" s="95">
        <v>107</v>
      </c>
      <c r="AK10" s="3" t="s">
        <v>30</v>
      </c>
      <c r="AL10" s="95">
        <v>27</v>
      </c>
    </row>
    <row r="11" spans="1:43" x14ac:dyDescent="0.2">
      <c r="F11" s="4" t="str" cm="1">
        <f t="array" ref="F11">IFERROR(INDEX($A:$Z,ROW(),MATCH("Kapalı",$2:$2,0)) /
SUM(
INDEX($A:$Z,ROW(),MATCH("Açık",$2:$2,0)),
INDEX($A:$Z,ROW(),MATCH("Kapalı",$2:$2,0)),
INDEX($A:$Z,ROW(),MATCH("Devam Ediyor",$2:$2,0))
),"")</f>
        <v/>
      </c>
      <c r="K11" s="5" t="str">
        <f t="shared" si="0"/>
        <v/>
      </c>
      <c r="U11" s="3" t="s">
        <v>38</v>
      </c>
      <c r="V11" s="95">
        <v>1</v>
      </c>
      <c r="W11" s="95"/>
      <c r="Y11" s="3" t="s">
        <v>38</v>
      </c>
      <c r="Z11" s="95">
        <v>1</v>
      </c>
      <c r="AA11" s="95"/>
      <c r="AB11" s="95"/>
      <c r="AE11" s="3" t="s">
        <v>57</v>
      </c>
      <c r="AF11" s="95">
        <v>3</v>
      </c>
      <c r="AK11" s="3" t="s">
        <v>134</v>
      </c>
      <c r="AL11" s="95">
        <v>8</v>
      </c>
    </row>
    <row r="12" spans="1:43" x14ac:dyDescent="0.2">
      <c r="F12" s="4" t="str" cm="1">
        <f t="array" ref="F12">IFERROR(INDEX($A:$Z,ROW(),MATCH("Kapalı",$2:$2,0)) /
SUM(
INDEX($A:$Z,ROW(),MATCH("Açık",$2:$2,0)),
INDEX($A:$Z,ROW(),MATCH("Kapalı",$2:$2,0)),
INDEX($A:$Z,ROW(),MATCH("Devam Ediyor",$2:$2,0))
),"")</f>
        <v/>
      </c>
      <c r="K12" s="5" t="str">
        <f t="shared" si="0"/>
        <v/>
      </c>
      <c r="U12" s="3" t="s">
        <v>31</v>
      </c>
      <c r="V12" s="95">
        <v>3</v>
      </c>
      <c r="W12" s="95">
        <v>7</v>
      </c>
      <c r="Y12" s="3" t="s">
        <v>31</v>
      </c>
      <c r="Z12" s="95">
        <v>9</v>
      </c>
      <c r="AA12" s="95">
        <v>1</v>
      </c>
      <c r="AB12" s="95"/>
      <c r="AE12" s="3" t="s">
        <v>30</v>
      </c>
      <c r="AF12" s="95">
        <v>23</v>
      </c>
      <c r="AK12" s="3" t="s">
        <v>11</v>
      </c>
      <c r="AL12" s="95">
        <v>107</v>
      </c>
    </row>
    <row r="13" spans="1:43" x14ac:dyDescent="0.2">
      <c r="A13" s="6"/>
      <c r="F13" s="4" t="str" cm="1">
        <f t="array" ref="F13">IFERROR(INDEX($A:$Z,ROW(),MATCH("Kapalı",$2:$2,0)) /
SUM(
INDEX($A:$Z,ROW(),MATCH("Açık",$2:$2,0)),
INDEX($A:$Z,ROW(),MATCH("Kapalı",$2:$2,0)),
INDEX($A:$Z,ROW(),MATCH("Devam Ediyor",$2:$2,0))
),"")</f>
        <v/>
      </c>
      <c r="K13" s="5" t="str">
        <f t="shared" si="0"/>
        <v/>
      </c>
      <c r="U13" s="3" t="s">
        <v>34</v>
      </c>
      <c r="V13" s="95">
        <v>1</v>
      </c>
      <c r="W13" s="95">
        <v>1</v>
      </c>
      <c r="Y13" s="3" t="s">
        <v>34</v>
      </c>
      <c r="Z13" s="95">
        <v>1</v>
      </c>
      <c r="AA13" s="95"/>
      <c r="AB13" s="95">
        <v>1</v>
      </c>
      <c r="AE13" s="3" t="s">
        <v>88</v>
      </c>
      <c r="AF13" s="95">
        <v>4</v>
      </c>
    </row>
    <row r="14" spans="1:43" x14ac:dyDescent="0.2">
      <c r="F14" s="4" t="str" cm="1">
        <f t="array" ref="F14">IFERROR(INDEX($A:$Z,ROW(),MATCH("Kapalı",$2:$2,0)) /
SUM(
INDEX($A:$Z,ROW(),MATCH("Açık",$2:$2,0)),
INDEX($A:$Z,ROW(),MATCH("Kapalı",$2:$2,0)),
INDEX($A:$Z,ROW(),MATCH("Devam Ediyor",$2:$2,0))
),"")</f>
        <v/>
      </c>
      <c r="K14" s="5" t="str">
        <f t="shared" si="0"/>
        <v/>
      </c>
      <c r="U14" s="3" t="s">
        <v>43</v>
      </c>
      <c r="V14" s="95">
        <v>4</v>
      </c>
      <c r="W14" s="95"/>
      <c r="Y14" s="3" t="s">
        <v>43</v>
      </c>
      <c r="Z14" s="95">
        <v>4</v>
      </c>
      <c r="AA14" s="95"/>
      <c r="AB14" s="95"/>
      <c r="AE14" s="3" t="s">
        <v>65</v>
      </c>
      <c r="AF14" s="95">
        <v>27</v>
      </c>
    </row>
    <row r="15" spans="1:43" x14ac:dyDescent="0.2">
      <c r="F15" s="4" t="str" cm="1">
        <f t="array" ref="F15">IFERROR(INDEX($A:$Z,ROW(),MATCH("Kapalı",$2:$2,0)) /
SUM(
INDEX($A:$Z,ROW(),MATCH("Açık",$2:$2,0)),
INDEX($A:$Z,ROW(),MATCH("Kapalı",$2:$2,0)),
INDEX($A:$Z,ROW(),MATCH("Devam Ediyor",$2:$2,0))
),"")</f>
        <v/>
      </c>
      <c r="K15" s="5" t="str">
        <f t="shared" si="0"/>
        <v/>
      </c>
      <c r="U15" s="3" t="s">
        <v>45</v>
      </c>
      <c r="V15" s="95">
        <v>6</v>
      </c>
      <c r="W15" s="95"/>
      <c r="Y15" s="3" t="s">
        <v>45</v>
      </c>
      <c r="Z15" s="95">
        <v>6</v>
      </c>
      <c r="AA15" s="95"/>
      <c r="AB15" s="95"/>
      <c r="AE15" s="3" t="s">
        <v>36</v>
      </c>
      <c r="AF15" s="95">
        <v>1</v>
      </c>
    </row>
    <row r="16" spans="1:43" x14ac:dyDescent="0.2">
      <c r="F16" s="4" t="str" cm="1">
        <f t="array" ref="F16">IFERROR(INDEX($A:$Z,ROW(),MATCH("Kapalı",$2:$2,0)) /
SUM(
INDEX($A:$Z,ROW(),MATCH("Açık",$2:$2,0)),
INDEX($A:$Z,ROW(),MATCH("Kapalı",$2:$2,0)),
INDEX($A:$Z,ROW(),MATCH("Devam Ediyor",$2:$2,0))
),"")</f>
        <v/>
      </c>
      <c r="K16" s="5" t="str">
        <f t="shared" si="0"/>
        <v/>
      </c>
      <c r="U16" s="3" t="s">
        <v>51</v>
      </c>
      <c r="V16" s="95">
        <v>2</v>
      </c>
      <c r="W16" s="95">
        <v>6</v>
      </c>
      <c r="Y16" s="3" t="s">
        <v>51</v>
      </c>
      <c r="Z16" s="95">
        <v>6</v>
      </c>
      <c r="AA16" s="95"/>
      <c r="AB16" s="95">
        <v>2</v>
      </c>
      <c r="AE16" s="3" t="s">
        <v>188</v>
      </c>
      <c r="AF16" s="95">
        <v>4</v>
      </c>
    </row>
    <row r="17" spans="21:32" x14ac:dyDescent="0.2">
      <c r="U17" s="3" t="s">
        <v>116</v>
      </c>
      <c r="V17" s="95">
        <v>1</v>
      </c>
      <c r="W17" s="95"/>
      <c r="Y17" s="3" t="s">
        <v>116</v>
      </c>
      <c r="Z17" s="95">
        <v>1</v>
      </c>
      <c r="AA17" s="95"/>
      <c r="AB17" s="95"/>
      <c r="AE17" s="3" t="s">
        <v>11</v>
      </c>
      <c r="AF17" s="95">
        <v>107</v>
      </c>
    </row>
    <row r="18" spans="21:32" x14ac:dyDescent="0.2">
      <c r="U18" s="3" t="s">
        <v>119</v>
      </c>
      <c r="V18" s="95">
        <v>4</v>
      </c>
      <c r="W18" s="95"/>
      <c r="Y18" s="3" t="s">
        <v>119</v>
      </c>
      <c r="Z18" s="95"/>
      <c r="AA18" s="95">
        <v>1</v>
      </c>
      <c r="AB18" s="95">
        <v>3</v>
      </c>
    </row>
    <row r="19" spans="21:32" x14ac:dyDescent="0.2">
      <c r="U19" s="3" t="s">
        <v>11</v>
      </c>
      <c r="V19" s="95">
        <v>69</v>
      </c>
      <c r="W19" s="95">
        <v>38</v>
      </c>
      <c r="Y19" s="3" t="s">
        <v>11</v>
      </c>
      <c r="Z19" s="95">
        <v>53</v>
      </c>
      <c r="AA19" s="95">
        <v>11</v>
      </c>
      <c r="AB19" s="95">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
  <sheetViews>
    <sheetView workbookViewId="0">
      <selection activeCell="A2" sqref="A2"/>
    </sheetView>
  </sheetViews>
  <sheetFormatPr baseColWidth="10" defaultColWidth="8.83203125" defaultRowHeight="15" x14ac:dyDescent="0.2"/>
  <cols>
    <col min="1" max="1" width="16.83203125" bestFit="1" customWidth="1"/>
    <col min="3" max="3" width="14.6640625" customWidth="1"/>
    <col min="4" max="4" width="17.5" customWidth="1"/>
    <col min="5" max="5" width="11.1640625" customWidth="1"/>
    <col min="6" max="6" width="16.5" customWidth="1"/>
    <col min="7" max="7" width="12.5" customWidth="1"/>
    <col min="8" max="8" width="13.1640625" bestFit="1" customWidth="1"/>
    <col min="9" max="9" width="16.33203125" bestFit="1" customWidth="1"/>
    <col min="10" max="10" width="12.5" customWidth="1"/>
    <col min="12" max="12" width="19.6640625" bestFit="1" customWidth="1"/>
    <col min="13" max="13" width="12" bestFit="1" customWidth="1"/>
    <col min="14" max="14" width="15.5" bestFit="1" customWidth="1"/>
    <col min="15" max="15" width="21.5" bestFit="1" customWidth="1"/>
  </cols>
  <sheetData>
    <row r="1" spans="1:15" x14ac:dyDescent="0.2">
      <c r="A1" t="s">
        <v>177</v>
      </c>
      <c r="C1" t="s">
        <v>178</v>
      </c>
      <c r="D1" t="s">
        <v>179</v>
      </c>
      <c r="E1" t="s">
        <v>88</v>
      </c>
      <c r="F1" t="s">
        <v>180</v>
      </c>
      <c r="H1" t="s">
        <v>181</v>
      </c>
      <c r="I1" t="s">
        <v>182</v>
      </c>
      <c r="J1" t="s">
        <v>183</v>
      </c>
      <c r="L1" t="s">
        <v>184</v>
      </c>
      <c r="M1" t="s">
        <v>185</v>
      </c>
      <c r="N1" t="s">
        <v>186</v>
      </c>
      <c r="O1" t="s">
        <v>29</v>
      </c>
    </row>
    <row r="2" spans="1:15" x14ac:dyDescent="0.2">
      <c r="A2" t="s">
        <v>305</v>
      </c>
      <c r="H2">
        <v>0</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Belge" ma:contentTypeID="0x01010087B50852B5160844B1C62404EFB4E40A" ma:contentTypeVersion="3" ma:contentTypeDescription="Yeni belge oluşturun." ma:contentTypeScope="" ma:versionID="f4b98231386091c8a788d2b762a602ca">
  <xsd:schema xmlns:xsd="http://www.w3.org/2001/XMLSchema" xmlns:xs="http://www.w3.org/2001/XMLSchema" xmlns:p="http://schemas.microsoft.com/office/2006/metadata/properties" xmlns:ns2="92f4dc85-98d5-4729-98ae-a4c20e6a7fa8" targetNamespace="http://schemas.microsoft.com/office/2006/metadata/properties" ma:root="true" ma:fieldsID="f6c808d2c54763adf9f0aa1409599240" ns2:_="">
    <xsd:import namespace="92f4dc85-98d5-4729-98ae-a4c20e6a7fa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f4dc85-98d5-4729-98ae-a4c20e6a7f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262C24-B1A4-4BBA-9FEE-00764624A69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6D39774-2075-4992-BF85-263A31DEC657}">
  <ds:schemaRefs>
    <ds:schemaRef ds:uri="http://schemas.microsoft.com/sharepoint/v3/contenttype/forms"/>
  </ds:schemaRefs>
</ds:datastoreItem>
</file>

<file path=customXml/itemProps3.xml><?xml version="1.0" encoding="utf-8"?>
<ds:datastoreItem xmlns:ds="http://schemas.openxmlformats.org/officeDocument/2006/customXml" ds:itemID="{53D58EB6-BF64-4452-9142-A731D3F9E8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f4dc85-98d5-4729-98ae-a4c20e6a7f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4</vt:i4>
      </vt:variant>
    </vt:vector>
  </HeadingPairs>
  <TitlesOfParts>
    <vt:vector size="4" baseType="lpstr">
      <vt:lpstr>Proje Raporu</vt:lpstr>
      <vt:lpstr>DashBoard</vt:lpstr>
      <vt:lpstr>Pivot</vt:lpstr>
      <vt:lpstr>Bilgiler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gozde.cetiner</dc:creator>
  <cp:keywords/>
  <dc:description/>
  <cp:lastModifiedBy>gembapartner kaizen management</cp:lastModifiedBy>
  <cp:revision/>
  <dcterms:created xsi:type="dcterms:W3CDTF">2025-07-12T08:35:02Z</dcterms:created>
  <dcterms:modified xsi:type="dcterms:W3CDTF">2026-08-05T14:27:51Z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0x01010087B50852B5160844B1C62404EFB4E40A</vt:lpwstr>
  </property>
</Properties>
</file>